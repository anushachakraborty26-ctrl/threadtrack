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Order book" sheetId="2" state="visible" r:id="rId2"/>
    <sheet name="Summary" sheetId="3" state="visible" r:id="rId3"/>
    <sheet name="Rubr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2E5B8A"/>
      <sz val="18"/>
    </font>
    <font>
      <color rgb="00000000"/>
      <sz val="11"/>
    </font>
    <font>
      <b val="1"/>
      <color rgb="002E5B8A"/>
      <sz val="12"/>
    </font>
    <font>
      <color rgb="00888888"/>
      <sz val="10"/>
    </font>
    <font>
      <b val="1"/>
      <color rgb="00FFFFFF"/>
      <sz val="11"/>
    </font>
    <font>
      <b val="1"/>
      <color rgb="002E5B8A"/>
      <sz val="14"/>
    </font>
    <font>
      <sz val="11"/>
    </font>
    <font>
      <b val="1"/>
      <sz val="11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5B8A"/>
      </patternFill>
    </fill>
    <fill>
      <patternFill patternType="solid">
        <f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wrapText="1"/>
    </xf>
    <xf numFmtId="0" fontId="10" fillId="2" borderId="1" applyAlignment="1" pivotButton="0" quotePrefix="0" xfId="0">
      <alignment horizontal="center"/>
    </xf>
    <xf numFmtId="0" fontId="7" fillId="3" borderId="1" pivotButton="0" quotePrefix="0" xfId="0"/>
    <xf numFmtId="0" fontId="0" fillId="3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ThreadTrack — Order Risk Workbook</t>
        </is>
      </c>
    </row>
    <row r="2">
      <c r="A2" s="2" t="inlineStr"/>
    </row>
    <row r="3">
      <c r="A3" s="3" t="inlineStr">
        <is>
          <t>WHAT THIS IS</t>
        </is>
      </c>
    </row>
    <row r="4">
      <c r="A4" s="2" t="inlineStr">
        <is>
          <t>A working tool for merchandisers and planners. Enter a purchase order and the workbook instantly estimates two risks — the chance it is delivered late, and the chance it is returned — each with the reasons behind it and a recommended action.</t>
        </is>
      </c>
    </row>
    <row r="5">
      <c r="A5" s="2" t="inlineStr"/>
    </row>
    <row r="6">
      <c r="A6" s="3" t="inlineStr">
        <is>
          <t>HOW TO USE IT</t>
        </is>
      </c>
    </row>
    <row r="7">
      <c r="A7" s="2" t="inlineStr">
        <is>
          <t>1.  Open the 'Order book' sheet.</t>
        </is>
      </c>
    </row>
    <row r="8">
      <c r="A8" s="2" t="inlineStr">
        <is>
          <t>2.  Fill one row per order. The shaded columns (Delay score onward) fill in by themselves — do not type in them.</t>
        </is>
      </c>
    </row>
    <row r="9">
      <c r="A9" s="2" t="inlineStr">
        <is>
          <t>3.  Most fields are drop-downs: click the cell and pick a value.</t>
        </is>
      </c>
    </row>
    <row r="10">
      <c r="A10" s="2" t="inlineStr">
        <is>
          <t>4.  Read the 'Recommended action' column for what to do about a risky order.</t>
        </is>
      </c>
    </row>
    <row r="11">
      <c r="A11" s="2" t="inlineStr">
        <is>
          <t>5.  The 'Summary' sheet rolls the whole order book up automatically.</t>
        </is>
      </c>
    </row>
    <row r="12">
      <c r="A12" s="2" t="inlineStr"/>
    </row>
    <row r="13">
      <c r="A13" s="3" t="inlineStr">
        <is>
          <t>WHAT THE COLOURS MEAN</t>
        </is>
      </c>
    </row>
    <row r="14">
      <c r="A14" s="2" t="inlineStr">
        <is>
          <t>Green = Low risk (score 0-35).   Amber = Medium risk (36-65).   Red = High risk (66-100).</t>
        </is>
      </c>
    </row>
    <row r="15">
      <c r="A15" s="2" t="inlineStr"/>
    </row>
    <row r="16">
      <c r="A16" s="3" t="inlineStr">
        <is>
          <t>HOW THE SCORES ARE CALCULATED</t>
        </is>
      </c>
    </row>
    <row r="17">
      <c r="A17" s="2" t="inlineStr">
        <is>
          <t>The scores come from the ThreadTrack rule scorer — 15 supply chain risk factors, each adding points to a delay score and a return score. Every factor and its weight is listed, in full, on the 'Rubric' sheet. Nothing is hidden.</t>
        </is>
      </c>
    </row>
    <row r="18">
      <c r="A18" s="2" t="inlineStr"/>
    </row>
    <row r="19">
      <c r="A19" s="4" t="inlineStr">
        <is>
          <t>Five example orders are pre-filled in the Order book so the tool is not empty on opening. Overwrite them with your own orders, or delete those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10" customWidth="1" min="5" max="5"/>
    <col width="10" customWidth="1" min="6" max="6"/>
    <col width="15" customWidth="1" min="7" max="7"/>
    <col width="13" customWidth="1" min="8" max="8"/>
    <col width="11" customWidth="1" min="9" max="9"/>
    <col width="11" customWidth="1" min="10" max="10"/>
    <col width="12" customWidth="1" min="11" max="11"/>
    <col width="11" customWidth="1" min="12" max="12"/>
    <col width="11" customWidth="1" min="13" max="13"/>
    <col width="42" customWidth="1" min="14" max="14"/>
    <col width="54" customWidth="1" min="15" max="15"/>
  </cols>
  <sheetData>
    <row r="1" ht="30" customHeight="1">
      <c r="A1" s="5" t="inlineStr">
        <is>
          <t>PO ID</t>
        </is>
      </c>
      <c r="B1" s="5" t="inlineStr">
        <is>
          <t>Vendor cluster</t>
        </is>
      </c>
      <c r="C1" s="5" t="inlineStr">
        <is>
          <t>New vendor?</t>
        </is>
      </c>
      <c r="D1" s="5" t="inlineStr">
        <is>
          <t>Vendor reliability</t>
        </is>
      </c>
      <c r="E1" s="5" t="inlineStr">
        <is>
          <t>Fabric</t>
        </is>
      </c>
      <c r="F1" s="5" t="inlineStr">
        <is>
          <t>Order qty</t>
        </is>
      </c>
      <c r="G1" s="5" t="inlineStr">
        <is>
          <t>Destination tier</t>
        </is>
      </c>
      <c r="H1" s="5" t="inlineStr">
        <is>
          <t>Payment mode</t>
        </is>
      </c>
      <c r="I1" s="5" t="inlineStr">
        <is>
          <t>Season</t>
        </is>
      </c>
      <c r="J1" s="5" t="inlineStr">
        <is>
          <t>Delay score</t>
        </is>
      </c>
      <c r="K1" s="5" t="inlineStr">
        <is>
          <t>Return score</t>
        </is>
      </c>
      <c r="L1" s="5" t="inlineStr">
        <is>
          <t>Delay risk</t>
        </is>
      </c>
      <c r="M1" s="5" t="inlineStr">
        <is>
          <t>Return risk</t>
        </is>
      </c>
      <c r="N1" s="5" t="inlineStr">
        <is>
          <t>Key risk drivers</t>
        </is>
      </c>
      <c r="O1" s="5" t="inlineStr">
        <is>
          <t>Recommended action</t>
        </is>
      </c>
    </row>
    <row r="2">
      <c r="A2" s="6" t="inlineStr">
        <is>
          <t>PO-EX01</t>
        </is>
      </c>
      <c r="B2" s="6" t="inlineStr">
        <is>
          <t>Bengaluru</t>
        </is>
      </c>
      <c r="C2" s="6" t="inlineStr">
        <is>
          <t>No</t>
        </is>
      </c>
      <c r="D2" s="6" t="inlineStr">
        <is>
          <t>0.85 or above</t>
        </is>
      </c>
      <c r="E2" s="6" t="inlineStr">
        <is>
          <t>knit</t>
        </is>
      </c>
      <c r="F2" s="6" t="n">
        <v>180</v>
      </c>
      <c r="G2" s="6" t="inlineStr">
        <is>
          <t>Tier-1</t>
        </is>
      </c>
      <c r="H2" s="6" t="inlineStr">
        <is>
          <t>Prepaid</t>
        </is>
      </c>
      <c r="I2" s="6" t="inlineStr">
        <is>
          <t>normal</t>
        </is>
      </c>
      <c r="J2" s="7">
        <f>IF($B2="","",MIN(100,10+IF($C2="Yes",22,0)+IF($B2="Tirupur",14,0)+IF($B2="Bengaluru",4,0)+IF($D2="Below 0.85",12,0)+IF($E2="woven",12,0)+IF($F2&gt;350,8,0)+IF($G2="Tier-3",10,0)+IF($G2="Tier-2",5,0)+IF($H2="COD",2,0)+IF($I2="festive",12,0)+IF($I2="monsoon",8,0)+IF(AND($I2="monsoon",$E2="woven"),10,0)+IF(AND($C2="Yes",$B2="Tirupur"),10,0)))</f>
        <v/>
      </c>
      <c r="K2" s="7">
        <f>IF($B2="","",MIN(100,15+IF($C2="Yes",10,0)+IF($B2="Tirupur",3,0)+IF($D2="Below 0.85",6,0)+IF($E2="woven",5,0)+IF($G2="Tier-3",14,0)+IF($G2="Tier-2",7,0)+IF($H2="COD",22,0)+IF($I2="festive",10,0)+IF($I2="monsoon",3,0)+IF(AND($I2="monsoon",$E2="woven"),3,0)+IF(AND($I2="festive",$H2="COD"),14,0)+IF(AND($C2="Yes",$B2="Tirupur"),2,0)+IF($J2&gt;=60,15,IF($J2&gt;=40,8,0))))</f>
        <v/>
      </c>
      <c r="L2" s="8">
        <f>IF($J2="","",IF($J2&lt;=35,"Low",IF($J2&lt;=65,"Medium","High")))</f>
        <v/>
      </c>
      <c r="M2" s="8">
        <f>IF($K2="","",IF($K2&lt;=35,"Low",IF($K2&lt;=65,"Medium","High")))</f>
        <v/>
      </c>
      <c r="N2" s="9">
        <f>IF($B2="","",IF(_xlfn.TEXTJOIN(", ",TRUE,IF($C2="Yes","New vendor",""),IF($B2="Tirupur","Tirupur cluster",""),IF($B2="Bengaluru","Bengaluru cluster",""),IF($D2="Below 0.85","Low vendor reliability",""),IF($E2="woven","Woven fabric",""),IF($F2&gt;350,"Large order (350+)",""),IF($G2="Tier-3","Tier-3 destination",""),IF($G2="Tier-2","Tier-2 destination",""),IF($H2="COD","COD payment",""),IF($I2="festive","Festive season",""),IF($I2="monsoon","Monsoon season",""))="","Baseline risk only",_xlfn.TEXTJOIN(", ",TRUE,IF($C2="Yes","New vendor",""),IF($B2="Tirupur","Tirupur cluster",""),IF($B2="Bengaluru","Bengaluru cluster",""),IF($D2="Below 0.85","Low vendor reliability",""),IF($E2="woven","Woven fabric",""),IF($F2&gt;350,"Large order (350+)",""),IF($G2="Tier-3","Tier-3 destination",""),IF($G2="Tier-2","Tier-2 destination",""),IF($H2="COD","COD payment",""),IF($I2="festive","Festive season",""),IF($I2="monsoon","Monsoon season",""))))</f>
        <v/>
      </c>
      <c r="O2" s="9">
        <f>IF($B2="","",IF(AND($L2="High",$M2="High"),"Escalate — high delay AND return risk: alternate vendor, add buffer, check sizing and payment",IF($L2="High","High delay risk — add a lead-time buffer or use a faster cluster",IF($M2="High","High return risk — tighten sizing guidance; consider a prepaid incentive",IF(OR($L2="Medium",$M2="Medium"),"Moderate risk — keep this order on the watch list","Low risk — no action needed")))))</f>
        <v/>
      </c>
    </row>
    <row r="3">
      <c r="A3" s="6" t="inlineStr">
        <is>
          <t>PO-EX02</t>
        </is>
      </c>
      <c r="B3" s="6" t="inlineStr">
        <is>
          <t>Tirupur</t>
        </is>
      </c>
      <c r="C3" s="6" t="inlineStr">
        <is>
          <t>No</t>
        </is>
      </c>
      <c r="D3" s="6" t="inlineStr">
        <is>
          <t>0.85 or above</t>
        </is>
      </c>
      <c r="E3" s="6" t="inlineStr">
        <is>
          <t>knit</t>
        </is>
      </c>
      <c r="F3" s="6" t="n">
        <v>220</v>
      </c>
      <c r="G3" s="6" t="inlineStr">
        <is>
          <t>Tier-2</t>
        </is>
      </c>
      <c r="H3" s="6" t="inlineStr">
        <is>
          <t>COD</t>
        </is>
      </c>
      <c r="I3" s="6" t="inlineStr">
        <is>
          <t>normal</t>
        </is>
      </c>
      <c r="J3" s="7">
        <f>IF($B3="","",MIN(100,10+IF($C3="Yes",22,0)+IF($B3="Tirupur",14,0)+IF($B3="Bengaluru",4,0)+IF($D3="Below 0.85",12,0)+IF($E3="woven",12,0)+IF($F3&gt;350,8,0)+IF($G3="Tier-3",10,0)+IF($G3="Tier-2",5,0)+IF($H3="COD",2,0)+IF($I3="festive",12,0)+IF($I3="monsoon",8,0)+IF(AND($I3="monsoon",$E3="woven"),10,0)+IF(AND($C3="Yes",$B3="Tirupur"),10,0)))</f>
        <v/>
      </c>
      <c r="K3" s="7">
        <f>IF($B3="","",MIN(100,15+IF($C3="Yes",10,0)+IF($B3="Tirupur",3,0)+IF($D3="Below 0.85",6,0)+IF($E3="woven",5,0)+IF($G3="Tier-3",14,0)+IF($G3="Tier-2",7,0)+IF($H3="COD",22,0)+IF($I3="festive",10,0)+IF($I3="monsoon",3,0)+IF(AND($I3="monsoon",$E3="woven"),3,0)+IF(AND($I3="festive",$H3="COD"),14,0)+IF(AND($C3="Yes",$B3="Tirupur"),2,0)+IF($J3&gt;=60,15,IF($J3&gt;=40,8,0))))</f>
        <v/>
      </c>
      <c r="L3" s="8">
        <f>IF($J3="","",IF($J3&lt;=35,"Low",IF($J3&lt;=65,"Medium","High")))</f>
        <v/>
      </c>
      <c r="M3" s="8">
        <f>IF($K3="","",IF($K3&lt;=35,"Low",IF($K3&lt;=65,"Medium","High")))</f>
        <v/>
      </c>
      <c r="N3" s="9">
        <f>IF($B3="","",IF(_xlfn.TEXTJOIN(", ",TRUE,IF($C3="Yes","New vendor",""),IF($B3="Tirupur","Tirupur cluster",""),IF($B3="Bengaluru","Bengaluru cluster",""),IF($D3="Below 0.85","Low vendor reliability",""),IF($E3="woven","Woven fabric",""),IF($F3&gt;350,"Large order (350+)",""),IF($G3="Tier-3","Tier-3 destination",""),IF($G3="Tier-2","Tier-2 destination",""),IF($H3="COD","COD payment",""),IF($I3="festive","Festive season",""),IF($I3="monsoon","Monsoon season",""))="","Baseline risk only",_xlfn.TEXTJOIN(", ",TRUE,IF($C3="Yes","New vendor",""),IF($B3="Tirupur","Tirupur cluster",""),IF($B3="Bengaluru","Bengaluru cluster",""),IF($D3="Below 0.85","Low vendor reliability",""),IF($E3="woven","Woven fabric",""),IF($F3&gt;350,"Large order (350+)",""),IF($G3="Tier-3","Tier-3 destination",""),IF($G3="Tier-2","Tier-2 destination",""),IF($H3="COD","COD payment",""),IF($I3="festive","Festive season",""),IF($I3="monsoon","Monsoon season",""))))</f>
        <v/>
      </c>
      <c r="O3" s="9">
        <f>IF($B3="","",IF(AND($L3="High",$M3="High"),"Escalate — high delay AND return risk: alternate vendor, add buffer, check sizing and payment",IF($L3="High","High delay risk — add a lead-time buffer or use a faster cluster",IF($M3="High","High return risk — tighten sizing guidance; consider a prepaid incentive",IF(OR($L3="Medium",$M3="Medium"),"Moderate risk — keep this order on the watch list","Low risk — no action needed")))))</f>
        <v/>
      </c>
    </row>
    <row r="4">
      <c r="A4" s="6" t="inlineStr">
        <is>
          <t>PO-EX03</t>
        </is>
      </c>
      <c r="B4" s="6" t="inlineStr">
        <is>
          <t>Delhi NCR</t>
        </is>
      </c>
      <c r="C4" s="6" t="inlineStr">
        <is>
          <t>No</t>
        </is>
      </c>
      <c r="D4" s="6" t="inlineStr">
        <is>
          <t>Below 0.85</t>
        </is>
      </c>
      <c r="E4" s="6" t="inlineStr">
        <is>
          <t>woven</t>
        </is>
      </c>
      <c r="F4" s="6" t="n">
        <v>300</v>
      </c>
      <c r="G4" s="6" t="inlineStr">
        <is>
          <t>Tier-2</t>
        </is>
      </c>
      <c r="H4" s="6" t="inlineStr">
        <is>
          <t>COD</t>
        </is>
      </c>
      <c r="I4" s="6" t="inlineStr">
        <is>
          <t>normal</t>
        </is>
      </c>
      <c r="J4" s="7">
        <f>IF($B4="","",MIN(100,10+IF($C4="Yes",22,0)+IF($B4="Tirupur",14,0)+IF($B4="Bengaluru",4,0)+IF($D4="Below 0.85",12,0)+IF($E4="woven",12,0)+IF($F4&gt;350,8,0)+IF($G4="Tier-3",10,0)+IF($G4="Tier-2",5,0)+IF($H4="COD",2,0)+IF($I4="festive",12,0)+IF($I4="monsoon",8,0)+IF(AND($I4="monsoon",$E4="woven"),10,0)+IF(AND($C4="Yes",$B4="Tirupur"),10,0)))</f>
        <v/>
      </c>
      <c r="K4" s="7">
        <f>IF($B4="","",MIN(100,15+IF($C4="Yes",10,0)+IF($B4="Tirupur",3,0)+IF($D4="Below 0.85",6,0)+IF($E4="woven",5,0)+IF($G4="Tier-3",14,0)+IF($G4="Tier-2",7,0)+IF($H4="COD",22,0)+IF($I4="festive",10,0)+IF($I4="monsoon",3,0)+IF(AND($I4="monsoon",$E4="woven"),3,0)+IF(AND($I4="festive",$H4="COD"),14,0)+IF(AND($C4="Yes",$B4="Tirupur"),2,0)+IF($J4&gt;=60,15,IF($J4&gt;=40,8,0))))</f>
        <v/>
      </c>
      <c r="L4" s="8">
        <f>IF($J4="","",IF($J4&lt;=35,"Low",IF($J4&lt;=65,"Medium","High")))</f>
        <v/>
      </c>
      <c r="M4" s="8">
        <f>IF($K4="","",IF($K4&lt;=35,"Low",IF($K4&lt;=65,"Medium","High")))</f>
        <v/>
      </c>
      <c r="N4" s="9">
        <f>IF($B4="","",IF(_xlfn.TEXTJOIN(", ",TRUE,IF($C4="Yes","New vendor",""),IF($B4="Tirupur","Tirupur cluster",""),IF($B4="Bengaluru","Bengaluru cluster",""),IF($D4="Below 0.85","Low vendor reliability",""),IF($E4="woven","Woven fabric",""),IF($F4&gt;350,"Large order (350+)",""),IF($G4="Tier-3","Tier-3 destination",""),IF($G4="Tier-2","Tier-2 destination",""),IF($H4="COD","COD payment",""),IF($I4="festive","Festive season",""),IF($I4="monsoon","Monsoon season",""))="","Baseline risk only",_xlfn.TEXTJOIN(", ",TRUE,IF($C4="Yes","New vendor",""),IF($B4="Tirupur","Tirupur cluster",""),IF($B4="Bengaluru","Bengaluru cluster",""),IF($D4="Below 0.85","Low vendor reliability",""),IF($E4="woven","Woven fabric",""),IF($F4&gt;350,"Large order (350+)",""),IF($G4="Tier-3","Tier-3 destination",""),IF($G4="Tier-2","Tier-2 destination",""),IF($H4="COD","COD payment",""),IF($I4="festive","Festive season",""),IF($I4="monsoon","Monsoon season",""))))</f>
        <v/>
      </c>
      <c r="O4" s="9">
        <f>IF($B4="","",IF(AND($L4="High",$M4="High"),"Escalate — high delay AND return risk: alternate vendor, add buffer, check sizing and payment",IF($L4="High","High delay risk — add a lead-time buffer or use a faster cluster",IF($M4="High","High return risk — tighten sizing guidance; consider a prepaid incentive",IF(OR($L4="Medium",$M4="Medium"),"Moderate risk — keep this order on the watch list","Low risk — no action needed")))))</f>
        <v/>
      </c>
    </row>
    <row r="5">
      <c r="A5" s="6" t="inlineStr">
        <is>
          <t>PO-EX04</t>
        </is>
      </c>
      <c r="B5" s="6" t="inlineStr">
        <is>
          <t>Tirupur</t>
        </is>
      </c>
      <c r="C5" s="6" t="inlineStr">
        <is>
          <t>Yes</t>
        </is>
      </c>
      <c r="D5" s="6" t="inlineStr">
        <is>
          <t>Below 0.85</t>
        </is>
      </c>
      <c r="E5" s="6" t="inlineStr">
        <is>
          <t>knit</t>
        </is>
      </c>
      <c r="F5" s="6" t="n">
        <v>400</v>
      </c>
      <c r="G5" s="6" t="inlineStr">
        <is>
          <t>Tier-3</t>
        </is>
      </c>
      <c r="H5" s="6" t="inlineStr">
        <is>
          <t>COD</t>
        </is>
      </c>
      <c r="I5" s="6" t="inlineStr">
        <is>
          <t>festive</t>
        </is>
      </c>
      <c r="J5" s="7">
        <f>IF($B5="","",MIN(100,10+IF($C5="Yes",22,0)+IF($B5="Tirupur",14,0)+IF($B5="Bengaluru",4,0)+IF($D5="Below 0.85",12,0)+IF($E5="woven",12,0)+IF($F5&gt;350,8,0)+IF($G5="Tier-3",10,0)+IF($G5="Tier-2",5,0)+IF($H5="COD",2,0)+IF($I5="festive",12,0)+IF($I5="monsoon",8,0)+IF(AND($I5="monsoon",$E5="woven"),10,0)+IF(AND($C5="Yes",$B5="Tirupur"),10,0)))</f>
        <v/>
      </c>
      <c r="K5" s="7">
        <f>IF($B5="","",MIN(100,15+IF($C5="Yes",10,0)+IF($B5="Tirupur",3,0)+IF($D5="Below 0.85",6,0)+IF($E5="woven",5,0)+IF($G5="Tier-3",14,0)+IF($G5="Tier-2",7,0)+IF($H5="COD",22,0)+IF($I5="festive",10,0)+IF($I5="monsoon",3,0)+IF(AND($I5="monsoon",$E5="woven"),3,0)+IF(AND($I5="festive",$H5="COD"),14,0)+IF(AND($C5="Yes",$B5="Tirupur"),2,0)+IF($J5&gt;=60,15,IF($J5&gt;=40,8,0))))</f>
        <v/>
      </c>
      <c r="L5" s="8">
        <f>IF($J5="","",IF($J5&lt;=35,"Low",IF($J5&lt;=65,"Medium","High")))</f>
        <v/>
      </c>
      <c r="M5" s="8">
        <f>IF($K5="","",IF($K5&lt;=35,"Low",IF($K5&lt;=65,"Medium","High")))</f>
        <v/>
      </c>
      <c r="N5" s="9">
        <f>IF($B5="","",IF(_xlfn.TEXTJOIN(", ",TRUE,IF($C5="Yes","New vendor",""),IF($B5="Tirupur","Tirupur cluster",""),IF($B5="Bengaluru","Bengaluru cluster",""),IF($D5="Below 0.85","Low vendor reliability",""),IF($E5="woven","Woven fabric",""),IF($F5&gt;350,"Large order (350+)",""),IF($G5="Tier-3","Tier-3 destination",""),IF($G5="Tier-2","Tier-2 destination",""),IF($H5="COD","COD payment",""),IF($I5="festive","Festive season",""),IF($I5="monsoon","Monsoon season",""))="","Baseline risk only",_xlfn.TEXTJOIN(", ",TRUE,IF($C5="Yes","New vendor",""),IF($B5="Tirupur","Tirupur cluster",""),IF($B5="Bengaluru","Bengaluru cluster",""),IF($D5="Below 0.85","Low vendor reliability",""),IF($E5="woven","Woven fabric",""),IF($F5&gt;350,"Large order (350+)",""),IF($G5="Tier-3","Tier-3 destination",""),IF($G5="Tier-2","Tier-2 destination",""),IF($H5="COD","COD payment",""),IF($I5="festive","Festive season",""),IF($I5="monsoon","Monsoon season",""))))</f>
        <v/>
      </c>
      <c r="O5" s="9">
        <f>IF($B5="","",IF(AND($L5="High",$M5="High"),"Escalate — high delay AND return risk: alternate vendor, add buffer, check sizing and payment",IF($L5="High","High delay risk — add a lead-time buffer or use a faster cluster",IF($M5="High","High return risk — tighten sizing guidance; consider a prepaid incentive",IF(OR($L5="Medium",$M5="Medium"),"Moderate risk — keep this order on the watch list","Low risk — no action needed")))))</f>
        <v/>
      </c>
    </row>
    <row r="6">
      <c r="A6" s="6" t="inlineStr">
        <is>
          <t>PO-EX05</t>
        </is>
      </c>
      <c r="B6" s="6" t="inlineStr">
        <is>
          <t>Ludhiana</t>
        </is>
      </c>
      <c r="C6" s="6" t="inlineStr">
        <is>
          <t>No</t>
        </is>
      </c>
      <c r="D6" s="6" t="inlineStr">
        <is>
          <t>Below 0.85</t>
        </is>
      </c>
      <c r="E6" s="6" t="inlineStr">
        <is>
          <t>woven</t>
        </is>
      </c>
      <c r="F6" s="6" t="n">
        <v>380</v>
      </c>
      <c r="G6" s="6" t="inlineStr">
        <is>
          <t>Tier-3</t>
        </is>
      </c>
      <c r="H6" s="6" t="inlineStr">
        <is>
          <t>COD</t>
        </is>
      </c>
      <c r="I6" s="6" t="inlineStr">
        <is>
          <t>monsoon</t>
        </is>
      </c>
      <c r="J6" s="7">
        <f>IF($B6="","",MIN(100,10+IF($C6="Yes",22,0)+IF($B6="Tirupur",14,0)+IF($B6="Bengaluru",4,0)+IF($D6="Below 0.85",12,0)+IF($E6="woven",12,0)+IF($F6&gt;350,8,0)+IF($G6="Tier-3",10,0)+IF($G6="Tier-2",5,0)+IF($H6="COD",2,0)+IF($I6="festive",12,0)+IF($I6="monsoon",8,0)+IF(AND($I6="monsoon",$E6="woven"),10,0)+IF(AND($C6="Yes",$B6="Tirupur"),10,0)))</f>
        <v/>
      </c>
      <c r="K6" s="7">
        <f>IF($B6="","",MIN(100,15+IF($C6="Yes",10,0)+IF($B6="Tirupur",3,0)+IF($D6="Below 0.85",6,0)+IF($E6="woven",5,0)+IF($G6="Tier-3",14,0)+IF($G6="Tier-2",7,0)+IF($H6="COD",22,0)+IF($I6="festive",10,0)+IF($I6="monsoon",3,0)+IF(AND($I6="monsoon",$E6="woven"),3,0)+IF(AND($I6="festive",$H6="COD"),14,0)+IF(AND($C6="Yes",$B6="Tirupur"),2,0)+IF($J6&gt;=60,15,IF($J6&gt;=40,8,0))))</f>
        <v/>
      </c>
      <c r="L6" s="8">
        <f>IF($J6="","",IF($J6&lt;=35,"Low",IF($J6&lt;=65,"Medium","High")))</f>
        <v/>
      </c>
      <c r="M6" s="8">
        <f>IF($K6="","",IF($K6&lt;=35,"Low",IF($K6&lt;=65,"Medium","High")))</f>
        <v/>
      </c>
      <c r="N6" s="9">
        <f>IF($B6="","",IF(_xlfn.TEXTJOIN(", ",TRUE,IF($C6="Yes","New vendor",""),IF($B6="Tirupur","Tirupur cluster",""),IF($B6="Bengaluru","Bengaluru cluster",""),IF($D6="Below 0.85","Low vendor reliability",""),IF($E6="woven","Woven fabric",""),IF($F6&gt;350,"Large order (350+)",""),IF($G6="Tier-3","Tier-3 destination",""),IF($G6="Tier-2","Tier-2 destination",""),IF($H6="COD","COD payment",""),IF($I6="festive","Festive season",""),IF($I6="monsoon","Monsoon season",""))="","Baseline risk only",_xlfn.TEXTJOIN(", ",TRUE,IF($C6="Yes","New vendor",""),IF($B6="Tirupur","Tirupur cluster",""),IF($B6="Bengaluru","Bengaluru cluster",""),IF($D6="Below 0.85","Low vendor reliability",""),IF($E6="woven","Woven fabric",""),IF($F6&gt;350,"Large order (350+)",""),IF($G6="Tier-3","Tier-3 destination",""),IF($G6="Tier-2","Tier-2 destination",""),IF($H6="COD","COD payment",""),IF($I6="festive","Festive season",""),IF($I6="monsoon","Monsoon season",""))))</f>
        <v/>
      </c>
      <c r="O6" s="9">
        <f>IF($B6="","",IF(AND($L6="High",$M6="High"),"Escalate — high delay AND return risk: alternate vendor, add buffer, check sizing and payment",IF($L6="High","High delay risk — add a lead-time buffer or use a faster cluster",IF($M6="High","High return risk — tighten sizing guidance; consider a prepaid incentive",IF(OR($L6="Medium",$M6="Medium"),"Moderate risk — keep this order on the watch list","Low risk — no action needed")))))</f>
        <v/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7">
        <f>IF($B7="","",MIN(100,10+IF($C7="Yes",22,0)+IF($B7="Tirupur",14,0)+IF($B7="Bengaluru",4,0)+IF($D7="Below 0.85",12,0)+IF($E7="woven",12,0)+IF($F7&gt;350,8,0)+IF($G7="Tier-3",10,0)+IF($G7="Tier-2",5,0)+IF($H7="COD",2,0)+IF($I7="festive",12,0)+IF($I7="monsoon",8,0)+IF(AND($I7="monsoon",$E7="woven"),10,0)+IF(AND($C7="Yes",$B7="Tirupur"),10,0)))</f>
        <v/>
      </c>
      <c r="K7" s="7">
        <f>IF($B7="","",MIN(100,15+IF($C7="Yes",10,0)+IF($B7="Tirupur",3,0)+IF($D7="Below 0.85",6,0)+IF($E7="woven",5,0)+IF($G7="Tier-3",14,0)+IF($G7="Tier-2",7,0)+IF($H7="COD",22,0)+IF($I7="festive",10,0)+IF($I7="monsoon",3,0)+IF(AND($I7="monsoon",$E7="woven"),3,0)+IF(AND($I7="festive",$H7="COD"),14,0)+IF(AND($C7="Yes",$B7="Tirupur"),2,0)+IF($J7&gt;=60,15,IF($J7&gt;=40,8,0))))</f>
        <v/>
      </c>
      <c r="L7" s="8">
        <f>IF($J7="","",IF($J7&lt;=35,"Low",IF($J7&lt;=65,"Medium","High")))</f>
        <v/>
      </c>
      <c r="M7" s="8">
        <f>IF($K7="","",IF($K7&lt;=35,"Low",IF($K7&lt;=65,"Medium","High")))</f>
        <v/>
      </c>
      <c r="N7" s="9">
        <f>IF($B7="","",IF(_xlfn.TEXTJOIN(", ",TRUE,IF($C7="Yes","New vendor",""),IF($B7="Tirupur","Tirupur cluster",""),IF($B7="Bengaluru","Bengaluru cluster",""),IF($D7="Below 0.85","Low vendor reliability",""),IF($E7="woven","Woven fabric",""),IF($F7&gt;350,"Large order (350+)",""),IF($G7="Tier-3","Tier-3 destination",""),IF($G7="Tier-2","Tier-2 destination",""),IF($H7="COD","COD payment",""),IF($I7="festive","Festive season",""),IF($I7="monsoon","Monsoon season",""))="","Baseline risk only",_xlfn.TEXTJOIN(", ",TRUE,IF($C7="Yes","New vendor",""),IF($B7="Tirupur","Tirupur cluster",""),IF($B7="Bengaluru","Bengaluru cluster",""),IF($D7="Below 0.85","Low vendor reliability",""),IF($E7="woven","Woven fabric",""),IF($F7&gt;350,"Large order (350+)",""),IF($G7="Tier-3","Tier-3 destination",""),IF($G7="Tier-2","Tier-2 destination",""),IF($H7="COD","COD payment",""),IF($I7="festive","Festive season",""),IF($I7="monsoon","Monsoon season",""))))</f>
        <v/>
      </c>
      <c r="O7" s="9">
        <f>IF($B7="","",IF(AND($L7="High",$M7="High"),"Escalate — high delay AND return risk: alternate vendor, add buffer, check sizing and payment",IF($L7="High","High delay risk — add a lead-time buffer or use a faster cluster",IF($M7="High","High return risk — tighten sizing guidance; consider a prepaid incentive",IF(OR($L7="Medium",$M7="Medium"),"Moderate risk — keep this order on the watch list","Low risk — no action needed")))))</f>
        <v/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7">
        <f>IF($B8="","",MIN(100,10+IF($C8="Yes",22,0)+IF($B8="Tirupur",14,0)+IF($B8="Bengaluru",4,0)+IF($D8="Below 0.85",12,0)+IF($E8="woven",12,0)+IF($F8&gt;350,8,0)+IF($G8="Tier-3",10,0)+IF($G8="Tier-2",5,0)+IF($H8="COD",2,0)+IF($I8="festive",12,0)+IF($I8="monsoon",8,0)+IF(AND($I8="monsoon",$E8="woven"),10,0)+IF(AND($C8="Yes",$B8="Tirupur"),10,0)))</f>
        <v/>
      </c>
      <c r="K8" s="7">
        <f>IF($B8="","",MIN(100,15+IF($C8="Yes",10,0)+IF($B8="Tirupur",3,0)+IF($D8="Below 0.85",6,0)+IF($E8="woven",5,0)+IF($G8="Tier-3",14,0)+IF($G8="Tier-2",7,0)+IF($H8="COD",22,0)+IF($I8="festive",10,0)+IF($I8="monsoon",3,0)+IF(AND($I8="monsoon",$E8="woven"),3,0)+IF(AND($I8="festive",$H8="COD"),14,0)+IF(AND($C8="Yes",$B8="Tirupur"),2,0)+IF($J8&gt;=60,15,IF($J8&gt;=40,8,0))))</f>
        <v/>
      </c>
      <c r="L8" s="8">
        <f>IF($J8="","",IF($J8&lt;=35,"Low",IF($J8&lt;=65,"Medium","High")))</f>
        <v/>
      </c>
      <c r="M8" s="8">
        <f>IF($K8="","",IF($K8&lt;=35,"Low",IF($K8&lt;=65,"Medium","High")))</f>
        <v/>
      </c>
      <c r="N8" s="9">
        <f>IF($B8="","",IF(_xlfn.TEXTJOIN(", ",TRUE,IF($C8="Yes","New vendor",""),IF($B8="Tirupur","Tirupur cluster",""),IF($B8="Bengaluru","Bengaluru cluster",""),IF($D8="Below 0.85","Low vendor reliability",""),IF($E8="woven","Woven fabric",""),IF($F8&gt;350,"Large order (350+)",""),IF($G8="Tier-3","Tier-3 destination",""),IF($G8="Tier-2","Tier-2 destination",""),IF($H8="COD","COD payment",""),IF($I8="festive","Festive season",""),IF($I8="monsoon","Monsoon season",""))="","Baseline risk only",_xlfn.TEXTJOIN(", ",TRUE,IF($C8="Yes","New vendor",""),IF($B8="Tirupur","Tirupur cluster",""),IF($B8="Bengaluru","Bengaluru cluster",""),IF($D8="Below 0.85","Low vendor reliability",""),IF($E8="woven","Woven fabric",""),IF($F8&gt;350,"Large order (350+)",""),IF($G8="Tier-3","Tier-3 destination",""),IF($G8="Tier-2","Tier-2 destination",""),IF($H8="COD","COD payment",""),IF($I8="festive","Festive season",""),IF($I8="monsoon","Monsoon season",""))))</f>
        <v/>
      </c>
      <c r="O8" s="9">
        <f>IF($B8="","",IF(AND($L8="High",$M8="High"),"Escalate — high delay AND return risk: alternate vendor, add buffer, check sizing and payment",IF($L8="High","High delay risk — add a lead-time buffer or use a faster cluster",IF($M8="High","High return risk — tighten sizing guidance; consider a prepaid incentive",IF(OR($L8="Medium",$M8="Medium"),"Moderate risk — keep this order on the watch list","Low risk — no action needed")))))</f>
        <v/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7">
        <f>IF($B9="","",MIN(100,10+IF($C9="Yes",22,0)+IF($B9="Tirupur",14,0)+IF($B9="Bengaluru",4,0)+IF($D9="Below 0.85",12,0)+IF($E9="woven",12,0)+IF($F9&gt;350,8,0)+IF($G9="Tier-3",10,0)+IF($G9="Tier-2",5,0)+IF($H9="COD",2,0)+IF($I9="festive",12,0)+IF($I9="monsoon",8,0)+IF(AND($I9="monsoon",$E9="woven"),10,0)+IF(AND($C9="Yes",$B9="Tirupur"),10,0)))</f>
        <v/>
      </c>
      <c r="K9" s="7">
        <f>IF($B9="","",MIN(100,15+IF($C9="Yes",10,0)+IF($B9="Tirupur",3,0)+IF($D9="Below 0.85",6,0)+IF($E9="woven",5,0)+IF($G9="Tier-3",14,0)+IF($G9="Tier-2",7,0)+IF($H9="COD",22,0)+IF($I9="festive",10,0)+IF($I9="monsoon",3,0)+IF(AND($I9="monsoon",$E9="woven"),3,0)+IF(AND($I9="festive",$H9="COD"),14,0)+IF(AND($C9="Yes",$B9="Tirupur"),2,0)+IF($J9&gt;=60,15,IF($J9&gt;=40,8,0))))</f>
        <v/>
      </c>
      <c r="L9" s="8">
        <f>IF($J9="","",IF($J9&lt;=35,"Low",IF($J9&lt;=65,"Medium","High")))</f>
        <v/>
      </c>
      <c r="M9" s="8">
        <f>IF($K9="","",IF($K9&lt;=35,"Low",IF($K9&lt;=65,"Medium","High")))</f>
        <v/>
      </c>
      <c r="N9" s="9">
        <f>IF($B9="","",IF(_xlfn.TEXTJOIN(", ",TRUE,IF($C9="Yes","New vendor",""),IF($B9="Tirupur","Tirupur cluster",""),IF($B9="Bengaluru","Bengaluru cluster",""),IF($D9="Below 0.85","Low vendor reliability",""),IF($E9="woven","Woven fabric",""),IF($F9&gt;350,"Large order (350+)",""),IF($G9="Tier-3","Tier-3 destination",""),IF($G9="Tier-2","Tier-2 destination",""),IF($H9="COD","COD payment",""),IF($I9="festive","Festive season",""),IF($I9="monsoon","Monsoon season",""))="","Baseline risk only",_xlfn.TEXTJOIN(", ",TRUE,IF($C9="Yes","New vendor",""),IF($B9="Tirupur","Tirupur cluster",""),IF($B9="Bengaluru","Bengaluru cluster",""),IF($D9="Below 0.85","Low vendor reliability",""),IF($E9="woven","Woven fabric",""),IF($F9&gt;350,"Large order (350+)",""),IF($G9="Tier-3","Tier-3 destination",""),IF($G9="Tier-2","Tier-2 destination",""),IF($H9="COD","COD payment",""),IF($I9="festive","Festive season",""),IF($I9="monsoon","Monsoon season",""))))</f>
        <v/>
      </c>
      <c r="O9" s="9">
        <f>IF($B9="","",IF(AND($L9="High",$M9="High"),"Escalate — high delay AND return risk: alternate vendor, add buffer, check sizing and payment",IF($L9="High","High delay risk — add a lead-time buffer or use a faster cluster",IF($M9="High","High return risk — tighten sizing guidance; consider a prepaid incentive",IF(OR($L9="Medium",$M9="Medium"),"Moderate risk — keep this order on the watch list","Low risk — no action needed")))))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7">
        <f>IF($B10="","",MIN(100,10+IF($C10="Yes",22,0)+IF($B10="Tirupur",14,0)+IF($B10="Bengaluru",4,0)+IF($D10="Below 0.85",12,0)+IF($E10="woven",12,0)+IF($F10&gt;350,8,0)+IF($G10="Tier-3",10,0)+IF($G10="Tier-2",5,0)+IF($H10="COD",2,0)+IF($I10="festive",12,0)+IF($I10="monsoon",8,0)+IF(AND($I10="monsoon",$E10="woven"),10,0)+IF(AND($C10="Yes",$B10="Tirupur"),10,0)))</f>
        <v/>
      </c>
      <c r="K10" s="7">
        <f>IF($B10="","",MIN(100,15+IF($C10="Yes",10,0)+IF($B10="Tirupur",3,0)+IF($D10="Below 0.85",6,0)+IF($E10="woven",5,0)+IF($G10="Tier-3",14,0)+IF($G10="Tier-2",7,0)+IF($H10="COD",22,0)+IF($I10="festive",10,0)+IF($I10="monsoon",3,0)+IF(AND($I10="monsoon",$E10="woven"),3,0)+IF(AND($I10="festive",$H10="COD"),14,0)+IF(AND($C10="Yes",$B10="Tirupur"),2,0)+IF($J10&gt;=60,15,IF($J10&gt;=40,8,0))))</f>
        <v/>
      </c>
      <c r="L10" s="8">
        <f>IF($J10="","",IF($J10&lt;=35,"Low",IF($J10&lt;=65,"Medium","High")))</f>
        <v/>
      </c>
      <c r="M10" s="8">
        <f>IF($K10="","",IF($K10&lt;=35,"Low",IF($K10&lt;=65,"Medium","High")))</f>
        <v/>
      </c>
      <c r="N10" s="9">
        <f>IF($B10="","",IF(_xlfn.TEXTJOIN(", ",TRUE,IF($C10="Yes","New vendor",""),IF($B10="Tirupur","Tirupur cluster",""),IF($B10="Bengaluru","Bengaluru cluster",""),IF($D10="Below 0.85","Low vendor reliability",""),IF($E10="woven","Woven fabric",""),IF($F10&gt;350,"Large order (350+)",""),IF($G10="Tier-3","Tier-3 destination",""),IF($G10="Tier-2","Tier-2 destination",""),IF($H10="COD","COD payment",""),IF($I10="festive","Festive season",""),IF($I10="monsoon","Monsoon season",""))="","Baseline risk only",_xlfn.TEXTJOIN(", ",TRUE,IF($C10="Yes","New vendor",""),IF($B10="Tirupur","Tirupur cluster",""),IF($B10="Bengaluru","Bengaluru cluster",""),IF($D10="Below 0.85","Low vendor reliability",""),IF($E10="woven","Woven fabric",""),IF($F10&gt;350,"Large order (350+)",""),IF($G10="Tier-3","Tier-3 destination",""),IF($G10="Tier-2","Tier-2 destination",""),IF($H10="COD","COD payment",""),IF($I10="festive","Festive season",""),IF($I10="monsoon","Monsoon season",""))))</f>
        <v/>
      </c>
      <c r="O10" s="9">
        <f>IF($B10="","",IF(AND($L10="High",$M10="High"),"Escalate — high delay AND return risk: alternate vendor, add buffer, check sizing and payment",IF($L10="High","High delay risk — add a lead-time buffer or use a faster cluster",IF($M10="High","High return risk — tighten sizing guidance; consider a prepaid incentive",IF(OR($L10="Medium",$M10="Medium"),"Moderate risk — keep this order on the watch list","Low risk — no action needed")))))</f>
        <v/>
      </c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7">
        <f>IF($B11="","",MIN(100,10+IF($C11="Yes",22,0)+IF($B11="Tirupur",14,0)+IF($B11="Bengaluru",4,0)+IF($D11="Below 0.85",12,0)+IF($E11="woven",12,0)+IF($F11&gt;350,8,0)+IF($G11="Tier-3",10,0)+IF($G11="Tier-2",5,0)+IF($H11="COD",2,0)+IF($I11="festive",12,0)+IF($I11="monsoon",8,0)+IF(AND($I11="monsoon",$E11="woven"),10,0)+IF(AND($C11="Yes",$B11="Tirupur"),10,0)))</f>
        <v/>
      </c>
      <c r="K11" s="7">
        <f>IF($B11="","",MIN(100,15+IF($C11="Yes",10,0)+IF($B11="Tirupur",3,0)+IF($D11="Below 0.85",6,0)+IF($E11="woven",5,0)+IF($G11="Tier-3",14,0)+IF($G11="Tier-2",7,0)+IF($H11="COD",22,0)+IF($I11="festive",10,0)+IF($I11="monsoon",3,0)+IF(AND($I11="monsoon",$E11="woven"),3,0)+IF(AND($I11="festive",$H11="COD"),14,0)+IF(AND($C11="Yes",$B11="Tirupur"),2,0)+IF($J11&gt;=60,15,IF($J11&gt;=40,8,0))))</f>
        <v/>
      </c>
      <c r="L11" s="8">
        <f>IF($J11="","",IF($J11&lt;=35,"Low",IF($J11&lt;=65,"Medium","High")))</f>
        <v/>
      </c>
      <c r="M11" s="8">
        <f>IF($K11="","",IF($K11&lt;=35,"Low",IF($K11&lt;=65,"Medium","High")))</f>
        <v/>
      </c>
      <c r="N11" s="9">
        <f>IF($B11="","",IF(_xlfn.TEXTJOIN(", ",TRUE,IF($C11="Yes","New vendor",""),IF($B11="Tirupur","Tirupur cluster",""),IF($B11="Bengaluru","Bengaluru cluster",""),IF($D11="Below 0.85","Low vendor reliability",""),IF($E11="woven","Woven fabric",""),IF($F11&gt;350,"Large order (350+)",""),IF($G11="Tier-3","Tier-3 destination",""),IF($G11="Tier-2","Tier-2 destination",""),IF($H11="COD","COD payment",""),IF($I11="festive","Festive season",""),IF($I11="monsoon","Monsoon season",""))="","Baseline risk only",_xlfn.TEXTJOIN(", ",TRUE,IF($C11="Yes","New vendor",""),IF($B11="Tirupur","Tirupur cluster",""),IF($B11="Bengaluru","Bengaluru cluster",""),IF($D11="Below 0.85","Low vendor reliability",""),IF($E11="woven","Woven fabric",""),IF($F11&gt;350,"Large order (350+)",""),IF($G11="Tier-3","Tier-3 destination",""),IF($G11="Tier-2","Tier-2 destination",""),IF($H11="COD","COD payment",""),IF($I11="festive","Festive season",""),IF($I11="monsoon","Monsoon season",""))))</f>
        <v/>
      </c>
      <c r="O11" s="9">
        <f>IF($B11="","",IF(AND($L11="High",$M11="High"),"Escalate — high delay AND return risk: alternate vendor, add buffer, check sizing and payment",IF($L11="High","High delay risk — add a lead-time buffer or use a faster cluster",IF($M11="High","High return risk — tighten sizing guidance; consider a prepaid incentive",IF(OR($L11="Medium",$M11="Medium"),"Moderate risk — keep this order on the watch list","Low risk — no action needed")))))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7">
        <f>IF($B12="","",MIN(100,10+IF($C12="Yes",22,0)+IF($B12="Tirupur",14,0)+IF($B12="Bengaluru",4,0)+IF($D12="Below 0.85",12,0)+IF($E12="woven",12,0)+IF($F12&gt;350,8,0)+IF($G12="Tier-3",10,0)+IF($G12="Tier-2",5,0)+IF($H12="COD",2,0)+IF($I12="festive",12,0)+IF($I12="monsoon",8,0)+IF(AND($I12="monsoon",$E12="woven"),10,0)+IF(AND($C12="Yes",$B12="Tirupur"),10,0)))</f>
        <v/>
      </c>
      <c r="K12" s="7">
        <f>IF($B12="","",MIN(100,15+IF($C12="Yes",10,0)+IF($B12="Tirupur",3,0)+IF($D12="Below 0.85",6,0)+IF($E12="woven",5,0)+IF($G12="Tier-3",14,0)+IF($G12="Tier-2",7,0)+IF($H12="COD",22,0)+IF($I12="festive",10,0)+IF($I12="monsoon",3,0)+IF(AND($I12="monsoon",$E12="woven"),3,0)+IF(AND($I12="festive",$H12="COD"),14,0)+IF(AND($C12="Yes",$B12="Tirupur"),2,0)+IF($J12&gt;=60,15,IF($J12&gt;=40,8,0))))</f>
        <v/>
      </c>
      <c r="L12" s="8">
        <f>IF($J12="","",IF($J12&lt;=35,"Low",IF($J12&lt;=65,"Medium","High")))</f>
        <v/>
      </c>
      <c r="M12" s="8">
        <f>IF($K12="","",IF($K12&lt;=35,"Low",IF($K12&lt;=65,"Medium","High")))</f>
        <v/>
      </c>
      <c r="N12" s="9">
        <f>IF($B12="","",IF(_xlfn.TEXTJOIN(", ",TRUE,IF($C12="Yes","New vendor",""),IF($B12="Tirupur","Tirupur cluster",""),IF($B12="Bengaluru","Bengaluru cluster",""),IF($D12="Below 0.85","Low vendor reliability",""),IF($E12="woven","Woven fabric",""),IF($F12&gt;350,"Large order (350+)",""),IF($G12="Tier-3","Tier-3 destination",""),IF($G12="Tier-2","Tier-2 destination",""),IF($H12="COD","COD payment",""),IF($I12="festive","Festive season",""),IF($I12="monsoon","Monsoon season",""))="","Baseline risk only",_xlfn.TEXTJOIN(", ",TRUE,IF($C12="Yes","New vendor",""),IF($B12="Tirupur","Tirupur cluster",""),IF($B12="Bengaluru","Bengaluru cluster",""),IF($D12="Below 0.85","Low vendor reliability",""),IF($E12="woven","Woven fabric",""),IF($F12&gt;350,"Large order (350+)",""),IF($G12="Tier-3","Tier-3 destination",""),IF($G12="Tier-2","Tier-2 destination",""),IF($H12="COD","COD payment",""),IF($I12="festive","Festive season",""),IF($I12="monsoon","Monsoon season",""))))</f>
        <v/>
      </c>
      <c r="O12" s="9">
        <f>IF($B12="","",IF(AND($L12="High",$M12="High"),"Escalate — high delay AND return risk: alternate vendor, add buffer, check sizing and payment",IF($L12="High","High delay risk — add a lead-time buffer or use a faster cluster",IF($M12="High","High return risk — tighten sizing guidance; consider a prepaid incentive",IF(OR($L12="Medium",$M12="Medium"),"Moderate risk — keep this order on the watch list","Low risk — no action needed")))))</f>
        <v/>
      </c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7">
        <f>IF($B13="","",MIN(100,10+IF($C13="Yes",22,0)+IF($B13="Tirupur",14,0)+IF($B13="Bengaluru",4,0)+IF($D13="Below 0.85",12,0)+IF($E13="woven",12,0)+IF($F13&gt;350,8,0)+IF($G13="Tier-3",10,0)+IF($G13="Tier-2",5,0)+IF($H13="COD",2,0)+IF($I13="festive",12,0)+IF($I13="monsoon",8,0)+IF(AND($I13="monsoon",$E13="woven"),10,0)+IF(AND($C13="Yes",$B13="Tirupur"),10,0)))</f>
        <v/>
      </c>
      <c r="K13" s="7">
        <f>IF($B13="","",MIN(100,15+IF($C13="Yes",10,0)+IF($B13="Tirupur",3,0)+IF($D13="Below 0.85",6,0)+IF($E13="woven",5,0)+IF($G13="Tier-3",14,0)+IF($G13="Tier-2",7,0)+IF($H13="COD",22,0)+IF($I13="festive",10,0)+IF($I13="monsoon",3,0)+IF(AND($I13="monsoon",$E13="woven"),3,0)+IF(AND($I13="festive",$H13="COD"),14,0)+IF(AND($C13="Yes",$B13="Tirupur"),2,0)+IF($J13&gt;=60,15,IF($J13&gt;=40,8,0))))</f>
        <v/>
      </c>
      <c r="L13" s="8">
        <f>IF($J13="","",IF($J13&lt;=35,"Low",IF($J13&lt;=65,"Medium","High")))</f>
        <v/>
      </c>
      <c r="M13" s="8">
        <f>IF($K13="","",IF($K13&lt;=35,"Low",IF($K13&lt;=65,"Medium","High")))</f>
        <v/>
      </c>
      <c r="N13" s="9">
        <f>IF($B13="","",IF(_xlfn.TEXTJOIN(", ",TRUE,IF($C13="Yes","New vendor",""),IF($B13="Tirupur","Tirupur cluster",""),IF($B13="Bengaluru","Bengaluru cluster",""),IF($D13="Below 0.85","Low vendor reliability",""),IF($E13="woven","Woven fabric",""),IF($F13&gt;350,"Large order (350+)",""),IF($G13="Tier-3","Tier-3 destination",""),IF($G13="Tier-2","Tier-2 destination",""),IF($H13="COD","COD payment",""),IF($I13="festive","Festive season",""),IF($I13="monsoon","Monsoon season",""))="","Baseline risk only",_xlfn.TEXTJOIN(", ",TRUE,IF($C13="Yes","New vendor",""),IF($B13="Tirupur","Tirupur cluster",""),IF($B13="Bengaluru","Bengaluru cluster",""),IF($D13="Below 0.85","Low vendor reliability",""),IF($E13="woven","Woven fabric",""),IF($F13&gt;350,"Large order (350+)",""),IF($G13="Tier-3","Tier-3 destination",""),IF($G13="Tier-2","Tier-2 destination",""),IF($H13="COD","COD payment",""),IF($I13="festive","Festive season",""),IF($I13="monsoon","Monsoon season",""))))</f>
        <v/>
      </c>
      <c r="O13" s="9">
        <f>IF($B13="","",IF(AND($L13="High",$M13="High"),"Escalate — high delay AND return risk: alternate vendor, add buffer, check sizing and payment",IF($L13="High","High delay risk — add a lead-time buffer or use a faster cluster",IF($M13="High","High return risk — tighten sizing guidance; consider a prepaid incentive",IF(OR($L13="Medium",$M13="Medium"),"Moderate risk — keep this order on the watch list","Low risk — no action needed")))))</f>
        <v/>
      </c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>
        <f>IF($B14="","",MIN(100,10+IF($C14="Yes",22,0)+IF($B14="Tirupur",14,0)+IF($B14="Bengaluru",4,0)+IF($D14="Below 0.85",12,0)+IF($E14="woven",12,0)+IF($F14&gt;350,8,0)+IF($G14="Tier-3",10,0)+IF($G14="Tier-2",5,0)+IF($H14="COD",2,0)+IF($I14="festive",12,0)+IF($I14="monsoon",8,0)+IF(AND($I14="monsoon",$E14="woven"),10,0)+IF(AND($C14="Yes",$B14="Tirupur"),10,0)))</f>
        <v/>
      </c>
      <c r="K14" s="7">
        <f>IF($B14="","",MIN(100,15+IF($C14="Yes",10,0)+IF($B14="Tirupur",3,0)+IF($D14="Below 0.85",6,0)+IF($E14="woven",5,0)+IF($G14="Tier-3",14,0)+IF($G14="Tier-2",7,0)+IF($H14="COD",22,0)+IF($I14="festive",10,0)+IF($I14="monsoon",3,0)+IF(AND($I14="monsoon",$E14="woven"),3,0)+IF(AND($I14="festive",$H14="COD"),14,0)+IF(AND($C14="Yes",$B14="Tirupur"),2,0)+IF($J14&gt;=60,15,IF($J14&gt;=40,8,0))))</f>
        <v/>
      </c>
      <c r="L14" s="8">
        <f>IF($J14="","",IF($J14&lt;=35,"Low",IF($J14&lt;=65,"Medium","High")))</f>
        <v/>
      </c>
      <c r="M14" s="8">
        <f>IF($K14="","",IF($K14&lt;=35,"Low",IF($K14&lt;=65,"Medium","High")))</f>
        <v/>
      </c>
      <c r="N14" s="9">
        <f>IF($B14="","",IF(_xlfn.TEXTJOIN(", ",TRUE,IF($C14="Yes","New vendor",""),IF($B14="Tirupur","Tirupur cluster",""),IF($B14="Bengaluru","Bengaluru cluster",""),IF($D14="Below 0.85","Low vendor reliability",""),IF($E14="woven","Woven fabric",""),IF($F14&gt;350,"Large order (350+)",""),IF($G14="Tier-3","Tier-3 destination",""),IF($G14="Tier-2","Tier-2 destination",""),IF($H14="COD","COD payment",""),IF($I14="festive","Festive season",""),IF($I14="monsoon","Monsoon season",""))="","Baseline risk only",_xlfn.TEXTJOIN(", ",TRUE,IF($C14="Yes","New vendor",""),IF($B14="Tirupur","Tirupur cluster",""),IF($B14="Bengaluru","Bengaluru cluster",""),IF($D14="Below 0.85","Low vendor reliability",""),IF($E14="woven","Woven fabric",""),IF($F14&gt;350,"Large order (350+)",""),IF($G14="Tier-3","Tier-3 destination",""),IF($G14="Tier-2","Tier-2 destination",""),IF($H14="COD","COD payment",""),IF($I14="festive","Festive season",""),IF($I14="monsoon","Monsoon season",""))))</f>
        <v/>
      </c>
      <c r="O14" s="9">
        <f>IF($B14="","",IF(AND($L14="High",$M14="High"),"Escalate — high delay AND return risk: alternate vendor, add buffer, check sizing and payment",IF($L14="High","High delay risk — add a lead-time buffer or use a faster cluster",IF($M14="High","High return risk — tighten sizing guidance; consider a prepaid incentive",IF(OR($L14="Medium",$M14="Medium"),"Moderate risk — keep this order on the watch list","Low risk — no action needed")))))</f>
        <v/>
      </c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7">
        <f>IF($B15="","",MIN(100,10+IF($C15="Yes",22,0)+IF($B15="Tirupur",14,0)+IF($B15="Bengaluru",4,0)+IF($D15="Below 0.85",12,0)+IF($E15="woven",12,0)+IF($F15&gt;350,8,0)+IF($G15="Tier-3",10,0)+IF($G15="Tier-2",5,0)+IF($H15="COD",2,0)+IF($I15="festive",12,0)+IF($I15="monsoon",8,0)+IF(AND($I15="monsoon",$E15="woven"),10,0)+IF(AND($C15="Yes",$B15="Tirupur"),10,0)))</f>
        <v/>
      </c>
      <c r="K15" s="7">
        <f>IF($B15="","",MIN(100,15+IF($C15="Yes",10,0)+IF($B15="Tirupur",3,0)+IF($D15="Below 0.85",6,0)+IF($E15="woven",5,0)+IF($G15="Tier-3",14,0)+IF($G15="Tier-2",7,0)+IF($H15="COD",22,0)+IF($I15="festive",10,0)+IF($I15="monsoon",3,0)+IF(AND($I15="monsoon",$E15="woven"),3,0)+IF(AND($I15="festive",$H15="COD"),14,0)+IF(AND($C15="Yes",$B15="Tirupur"),2,0)+IF($J15&gt;=60,15,IF($J15&gt;=40,8,0))))</f>
        <v/>
      </c>
      <c r="L15" s="8">
        <f>IF($J15="","",IF($J15&lt;=35,"Low",IF($J15&lt;=65,"Medium","High")))</f>
        <v/>
      </c>
      <c r="M15" s="8">
        <f>IF($K15="","",IF($K15&lt;=35,"Low",IF($K15&lt;=65,"Medium","High")))</f>
        <v/>
      </c>
      <c r="N15" s="9">
        <f>IF($B15="","",IF(_xlfn.TEXTJOIN(", ",TRUE,IF($C15="Yes","New vendor",""),IF($B15="Tirupur","Tirupur cluster",""),IF($B15="Bengaluru","Bengaluru cluster",""),IF($D15="Below 0.85","Low vendor reliability",""),IF($E15="woven","Woven fabric",""),IF($F15&gt;350,"Large order (350+)",""),IF($G15="Tier-3","Tier-3 destination",""),IF($G15="Tier-2","Tier-2 destination",""),IF($H15="COD","COD payment",""),IF($I15="festive","Festive season",""),IF($I15="monsoon","Monsoon season",""))="","Baseline risk only",_xlfn.TEXTJOIN(", ",TRUE,IF($C15="Yes","New vendor",""),IF($B15="Tirupur","Tirupur cluster",""),IF($B15="Bengaluru","Bengaluru cluster",""),IF($D15="Below 0.85","Low vendor reliability",""),IF($E15="woven","Woven fabric",""),IF($F15&gt;350,"Large order (350+)",""),IF($G15="Tier-3","Tier-3 destination",""),IF($G15="Tier-2","Tier-2 destination",""),IF($H15="COD","COD payment",""),IF($I15="festive","Festive season",""),IF($I15="monsoon","Monsoon season",""))))</f>
        <v/>
      </c>
      <c r="O15" s="9">
        <f>IF($B15="","",IF(AND($L15="High",$M15="High"),"Escalate — high delay AND return risk: alternate vendor, add buffer, check sizing and payment",IF($L15="High","High delay risk — add a lead-time buffer or use a faster cluster",IF($M15="High","High return risk — tighten sizing guidance; consider a prepaid incentive",IF(OR($L15="Medium",$M15="Medium"),"Moderate risk — keep this order on the watch list","Low risk — no action needed")))))</f>
        <v/>
      </c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7">
        <f>IF($B16="","",MIN(100,10+IF($C16="Yes",22,0)+IF($B16="Tirupur",14,0)+IF($B16="Bengaluru",4,0)+IF($D16="Below 0.85",12,0)+IF($E16="woven",12,0)+IF($F16&gt;350,8,0)+IF($G16="Tier-3",10,0)+IF($G16="Tier-2",5,0)+IF($H16="COD",2,0)+IF($I16="festive",12,0)+IF($I16="monsoon",8,0)+IF(AND($I16="monsoon",$E16="woven"),10,0)+IF(AND($C16="Yes",$B16="Tirupur"),10,0)))</f>
        <v/>
      </c>
      <c r="K16" s="7">
        <f>IF($B16="","",MIN(100,15+IF($C16="Yes",10,0)+IF($B16="Tirupur",3,0)+IF($D16="Below 0.85",6,0)+IF($E16="woven",5,0)+IF($G16="Tier-3",14,0)+IF($G16="Tier-2",7,0)+IF($H16="COD",22,0)+IF($I16="festive",10,0)+IF($I16="monsoon",3,0)+IF(AND($I16="monsoon",$E16="woven"),3,0)+IF(AND($I16="festive",$H16="COD"),14,0)+IF(AND($C16="Yes",$B16="Tirupur"),2,0)+IF($J16&gt;=60,15,IF($J16&gt;=40,8,0))))</f>
        <v/>
      </c>
      <c r="L16" s="8">
        <f>IF($J16="","",IF($J16&lt;=35,"Low",IF($J16&lt;=65,"Medium","High")))</f>
        <v/>
      </c>
      <c r="M16" s="8">
        <f>IF($K16="","",IF($K16&lt;=35,"Low",IF($K16&lt;=65,"Medium","High")))</f>
        <v/>
      </c>
      <c r="N16" s="9">
        <f>IF($B16="","",IF(_xlfn.TEXTJOIN(", ",TRUE,IF($C16="Yes","New vendor",""),IF($B16="Tirupur","Tirupur cluster",""),IF($B16="Bengaluru","Bengaluru cluster",""),IF($D16="Below 0.85","Low vendor reliability",""),IF($E16="woven","Woven fabric",""),IF($F16&gt;350,"Large order (350+)",""),IF($G16="Tier-3","Tier-3 destination",""),IF($G16="Tier-2","Tier-2 destination",""),IF($H16="COD","COD payment",""),IF($I16="festive","Festive season",""),IF($I16="monsoon","Monsoon season",""))="","Baseline risk only",_xlfn.TEXTJOIN(", ",TRUE,IF($C16="Yes","New vendor",""),IF($B16="Tirupur","Tirupur cluster",""),IF($B16="Bengaluru","Bengaluru cluster",""),IF($D16="Below 0.85","Low vendor reliability",""),IF($E16="woven","Woven fabric",""),IF($F16&gt;350,"Large order (350+)",""),IF($G16="Tier-3","Tier-3 destination",""),IF($G16="Tier-2","Tier-2 destination",""),IF($H16="COD","COD payment",""),IF($I16="festive","Festive season",""),IF($I16="monsoon","Monsoon season",""))))</f>
        <v/>
      </c>
      <c r="O16" s="9">
        <f>IF($B16="","",IF(AND($L16="High",$M16="High"),"Escalate — high delay AND return risk: alternate vendor, add buffer, check sizing and payment",IF($L16="High","High delay risk — add a lead-time buffer or use a faster cluster",IF($M16="High","High return risk — tighten sizing guidance; consider a prepaid incentive",IF(OR($L16="Medium",$M16="Medium"),"Moderate risk — keep this order on the watch list","Low risk — no action needed")))))</f>
        <v/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7">
        <f>IF($B17="","",MIN(100,10+IF($C17="Yes",22,0)+IF($B17="Tirupur",14,0)+IF($B17="Bengaluru",4,0)+IF($D17="Below 0.85",12,0)+IF($E17="woven",12,0)+IF($F17&gt;350,8,0)+IF($G17="Tier-3",10,0)+IF($G17="Tier-2",5,0)+IF($H17="COD",2,0)+IF($I17="festive",12,0)+IF($I17="monsoon",8,0)+IF(AND($I17="monsoon",$E17="woven"),10,0)+IF(AND($C17="Yes",$B17="Tirupur"),10,0)))</f>
        <v/>
      </c>
      <c r="K17" s="7">
        <f>IF($B17="","",MIN(100,15+IF($C17="Yes",10,0)+IF($B17="Tirupur",3,0)+IF($D17="Below 0.85",6,0)+IF($E17="woven",5,0)+IF($G17="Tier-3",14,0)+IF($G17="Tier-2",7,0)+IF($H17="COD",22,0)+IF($I17="festive",10,0)+IF($I17="monsoon",3,0)+IF(AND($I17="monsoon",$E17="woven"),3,0)+IF(AND($I17="festive",$H17="COD"),14,0)+IF(AND($C17="Yes",$B17="Tirupur"),2,0)+IF($J17&gt;=60,15,IF($J17&gt;=40,8,0))))</f>
        <v/>
      </c>
      <c r="L17" s="8">
        <f>IF($J17="","",IF($J17&lt;=35,"Low",IF($J17&lt;=65,"Medium","High")))</f>
        <v/>
      </c>
      <c r="M17" s="8">
        <f>IF($K17="","",IF($K17&lt;=35,"Low",IF($K17&lt;=65,"Medium","High")))</f>
        <v/>
      </c>
      <c r="N17" s="9">
        <f>IF($B17="","",IF(_xlfn.TEXTJOIN(", ",TRUE,IF($C17="Yes","New vendor",""),IF($B17="Tirupur","Tirupur cluster",""),IF($B17="Bengaluru","Bengaluru cluster",""),IF($D17="Below 0.85","Low vendor reliability",""),IF($E17="woven","Woven fabric",""),IF($F17&gt;350,"Large order (350+)",""),IF($G17="Tier-3","Tier-3 destination",""),IF($G17="Tier-2","Tier-2 destination",""),IF($H17="COD","COD payment",""),IF($I17="festive","Festive season",""),IF($I17="monsoon","Monsoon season",""))="","Baseline risk only",_xlfn.TEXTJOIN(", ",TRUE,IF($C17="Yes","New vendor",""),IF($B17="Tirupur","Tirupur cluster",""),IF($B17="Bengaluru","Bengaluru cluster",""),IF($D17="Below 0.85","Low vendor reliability",""),IF($E17="woven","Woven fabric",""),IF($F17&gt;350,"Large order (350+)",""),IF($G17="Tier-3","Tier-3 destination",""),IF($G17="Tier-2","Tier-2 destination",""),IF($H17="COD","COD payment",""),IF($I17="festive","Festive season",""),IF($I17="monsoon","Monsoon season",""))))</f>
        <v/>
      </c>
      <c r="O17" s="9">
        <f>IF($B17="","",IF(AND($L17="High",$M17="High"),"Escalate — high delay AND return risk: alternate vendor, add buffer, check sizing and payment",IF($L17="High","High delay risk — add a lead-time buffer or use a faster cluster",IF($M17="High","High return risk — tighten sizing guidance; consider a prepaid incentive",IF(OR($L17="Medium",$M17="Medium"),"Moderate risk — keep this order on the watch list","Low risk — no action needed")))))</f>
        <v/>
      </c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7">
        <f>IF($B18="","",MIN(100,10+IF($C18="Yes",22,0)+IF($B18="Tirupur",14,0)+IF($B18="Bengaluru",4,0)+IF($D18="Below 0.85",12,0)+IF($E18="woven",12,0)+IF($F18&gt;350,8,0)+IF($G18="Tier-3",10,0)+IF($G18="Tier-2",5,0)+IF($H18="COD",2,0)+IF($I18="festive",12,0)+IF($I18="monsoon",8,0)+IF(AND($I18="monsoon",$E18="woven"),10,0)+IF(AND($C18="Yes",$B18="Tirupur"),10,0)))</f>
        <v/>
      </c>
      <c r="K18" s="7">
        <f>IF($B18="","",MIN(100,15+IF($C18="Yes",10,0)+IF($B18="Tirupur",3,0)+IF($D18="Below 0.85",6,0)+IF($E18="woven",5,0)+IF($G18="Tier-3",14,0)+IF($G18="Tier-2",7,0)+IF($H18="COD",22,0)+IF($I18="festive",10,0)+IF($I18="monsoon",3,0)+IF(AND($I18="monsoon",$E18="woven"),3,0)+IF(AND($I18="festive",$H18="COD"),14,0)+IF(AND($C18="Yes",$B18="Tirupur"),2,0)+IF($J18&gt;=60,15,IF($J18&gt;=40,8,0))))</f>
        <v/>
      </c>
      <c r="L18" s="8">
        <f>IF($J18="","",IF($J18&lt;=35,"Low",IF($J18&lt;=65,"Medium","High")))</f>
        <v/>
      </c>
      <c r="M18" s="8">
        <f>IF($K18="","",IF($K18&lt;=35,"Low",IF($K18&lt;=65,"Medium","High")))</f>
        <v/>
      </c>
      <c r="N18" s="9">
        <f>IF($B18="","",IF(_xlfn.TEXTJOIN(", ",TRUE,IF($C18="Yes","New vendor",""),IF($B18="Tirupur","Tirupur cluster",""),IF($B18="Bengaluru","Bengaluru cluster",""),IF($D18="Below 0.85","Low vendor reliability",""),IF($E18="woven","Woven fabric",""),IF($F18&gt;350,"Large order (350+)",""),IF($G18="Tier-3","Tier-3 destination",""),IF($G18="Tier-2","Tier-2 destination",""),IF($H18="COD","COD payment",""),IF($I18="festive","Festive season",""),IF($I18="monsoon","Monsoon season",""))="","Baseline risk only",_xlfn.TEXTJOIN(", ",TRUE,IF($C18="Yes","New vendor",""),IF($B18="Tirupur","Tirupur cluster",""),IF($B18="Bengaluru","Bengaluru cluster",""),IF($D18="Below 0.85","Low vendor reliability",""),IF($E18="woven","Woven fabric",""),IF($F18&gt;350,"Large order (350+)",""),IF($G18="Tier-3","Tier-3 destination",""),IF($G18="Tier-2","Tier-2 destination",""),IF($H18="COD","COD payment",""),IF($I18="festive","Festive season",""),IF($I18="monsoon","Monsoon season",""))))</f>
        <v/>
      </c>
      <c r="O18" s="9">
        <f>IF($B18="","",IF(AND($L18="High",$M18="High"),"Escalate — high delay AND return risk: alternate vendor, add buffer, check sizing and payment",IF($L18="High","High delay risk — add a lead-time buffer or use a faster cluster",IF($M18="High","High return risk — tighten sizing guidance; consider a prepaid incentive",IF(OR($L18="Medium",$M18="Medium"),"Moderate risk — keep this order on the watch list","Low risk — no action needed")))))</f>
        <v/>
      </c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7">
        <f>IF($B19="","",MIN(100,10+IF($C19="Yes",22,0)+IF($B19="Tirupur",14,0)+IF($B19="Bengaluru",4,0)+IF($D19="Below 0.85",12,0)+IF($E19="woven",12,0)+IF($F19&gt;350,8,0)+IF($G19="Tier-3",10,0)+IF($G19="Tier-2",5,0)+IF($H19="COD",2,0)+IF($I19="festive",12,0)+IF($I19="monsoon",8,0)+IF(AND($I19="monsoon",$E19="woven"),10,0)+IF(AND($C19="Yes",$B19="Tirupur"),10,0)))</f>
        <v/>
      </c>
      <c r="K19" s="7">
        <f>IF($B19="","",MIN(100,15+IF($C19="Yes",10,0)+IF($B19="Tirupur",3,0)+IF($D19="Below 0.85",6,0)+IF($E19="woven",5,0)+IF($G19="Tier-3",14,0)+IF($G19="Tier-2",7,0)+IF($H19="COD",22,0)+IF($I19="festive",10,0)+IF($I19="monsoon",3,0)+IF(AND($I19="monsoon",$E19="woven"),3,0)+IF(AND($I19="festive",$H19="COD"),14,0)+IF(AND($C19="Yes",$B19="Tirupur"),2,0)+IF($J19&gt;=60,15,IF($J19&gt;=40,8,0))))</f>
        <v/>
      </c>
      <c r="L19" s="8">
        <f>IF($J19="","",IF($J19&lt;=35,"Low",IF($J19&lt;=65,"Medium","High")))</f>
        <v/>
      </c>
      <c r="M19" s="8">
        <f>IF($K19="","",IF($K19&lt;=35,"Low",IF($K19&lt;=65,"Medium","High")))</f>
        <v/>
      </c>
      <c r="N19" s="9">
        <f>IF($B19="","",IF(_xlfn.TEXTJOIN(", ",TRUE,IF($C19="Yes","New vendor",""),IF($B19="Tirupur","Tirupur cluster",""),IF($B19="Bengaluru","Bengaluru cluster",""),IF($D19="Below 0.85","Low vendor reliability",""),IF($E19="woven","Woven fabric",""),IF($F19&gt;350,"Large order (350+)",""),IF($G19="Tier-3","Tier-3 destination",""),IF($G19="Tier-2","Tier-2 destination",""),IF($H19="COD","COD payment",""),IF($I19="festive","Festive season",""),IF($I19="monsoon","Monsoon season",""))="","Baseline risk only",_xlfn.TEXTJOIN(", ",TRUE,IF($C19="Yes","New vendor",""),IF($B19="Tirupur","Tirupur cluster",""),IF($B19="Bengaluru","Bengaluru cluster",""),IF($D19="Below 0.85","Low vendor reliability",""),IF($E19="woven","Woven fabric",""),IF($F19&gt;350,"Large order (350+)",""),IF($G19="Tier-3","Tier-3 destination",""),IF($G19="Tier-2","Tier-2 destination",""),IF($H19="COD","COD payment",""),IF($I19="festive","Festive season",""),IF($I19="monsoon","Monsoon season",""))))</f>
        <v/>
      </c>
      <c r="O19" s="9">
        <f>IF($B19="","",IF(AND($L19="High",$M19="High"),"Escalate — high delay AND return risk: alternate vendor, add buffer, check sizing and payment",IF($L19="High","High delay risk — add a lead-time buffer or use a faster cluster",IF($M19="High","High return risk — tighten sizing guidance; consider a prepaid incentive",IF(OR($L19="Medium",$M19="Medium"),"Moderate risk — keep this order on the watch list","Low risk — no action needed")))))</f>
        <v/>
      </c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7">
        <f>IF($B20="","",MIN(100,10+IF($C20="Yes",22,0)+IF($B20="Tirupur",14,0)+IF($B20="Bengaluru",4,0)+IF($D20="Below 0.85",12,0)+IF($E20="woven",12,0)+IF($F20&gt;350,8,0)+IF($G20="Tier-3",10,0)+IF($G20="Tier-2",5,0)+IF($H20="COD",2,0)+IF($I20="festive",12,0)+IF($I20="monsoon",8,0)+IF(AND($I20="monsoon",$E20="woven"),10,0)+IF(AND($C20="Yes",$B20="Tirupur"),10,0)))</f>
        <v/>
      </c>
      <c r="K20" s="7">
        <f>IF($B20="","",MIN(100,15+IF($C20="Yes",10,0)+IF($B20="Tirupur",3,0)+IF($D20="Below 0.85",6,0)+IF($E20="woven",5,0)+IF($G20="Tier-3",14,0)+IF($G20="Tier-2",7,0)+IF($H20="COD",22,0)+IF($I20="festive",10,0)+IF($I20="monsoon",3,0)+IF(AND($I20="monsoon",$E20="woven"),3,0)+IF(AND($I20="festive",$H20="COD"),14,0)+IF(AND($C20="Yes",$B20="Tirupur"),2,0)+IF($J20&gt;=60,15,IF($J20&gt;=40,8,0))))</f>
        <v/>
      </c>
      <c r="L20" s="8">
        <f>IF($J20="","",IF($J20&lt;=35,"Low",IF($J20&lt;=65,"Medium","High")))</f>
        <v/>
      </c>
      <c r="M20" s="8">
        <f>IF($K20="","",IF($K20&lt;=35,"Low",IF($K20&lt;=65,"Medium","High")))</f>
        <v/>
      </c>
      <c r="N20" s="9">
        <f>IF($B20="","",IF(_xlfn.TEXTJOIN(", ",TRUE,IF($C20="Yes","New vendor",""),IF($B20="Tirupur","Tirupur cluster",""),IF($B20="Bengaluru","Bengaluru cluster",""),IF($D20="Below 0.85","Low vendor reliability",""),IF($E20="woven","Woven fabric",""),IF($F20&gt;350,"Large order (350+)",""),IF($G20="Tier-3","Tier-3 destination",""),IF($G20="Tier-2","Tier-2 destination",""),IF($H20="COD","COD payment",""),IF($I20="festive","Festive season",""),IF($I20="monsoon","Monsoon season",""))="","Baseline risk only",_xlfn.TEXTJOIN(", ",TRUE,IF($C20="Yes","New vendor",""),IF($B20="Tirupur","Tirupur cluster",""),IF($B20="Bengaluru","Bengaluru cluster",""),IF($D20="Below 0.85","Low vendor reliability",""),IF($E20="woven","Woven fabric",""),IF($F20&gt;350,"Large order (350+)",""),IF($G20="Tier-3","Tier-3 destination",""),IF($G20="Tier-2","Tier-2 destination",""),IF($H20="COD","COD payment",""),IF($I20="festive","Festive season",""),IF($I20="monsoon","Monsoon season",""))))</f>
        <v/>
      </c>
      <c r="O20" s="9">
        <f>IF($B20="","",IF(AND($L20="High",$M20="High"),"Escalate — high delay AND return risk: alternate vendor, add buffer, check sizing and payment",IF($L20="High","High delay risk — add a lead-time buffer or use a faster cluster",IF($M20="High","High return risk — tighten sizing guidance; consider a prepaid incentive",IF(OR($L20="Medium",$M20="Medium"),"Moderate risk — keep this order on the watch list","Low risk — no action needed")))))</f>
        <v/>
      </c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7">
        <f>IF($B21="","",MIN(100,10+IF($C21="Yes",22,0)+IF($B21="Tirupur",14,0)+IF($B21="Bengaluru",4,0)+IF($D21="Below 0.85",12,0)+IF($E21="woven",12,0)+IF($F21&gt;350,8,0)+IF($G21="Tier-3",10,0)+IF($G21="Tier-2",5,0)+IF($H21="COD",2,0)+IF($I21="festive",12,0)+IF($I21="monsoon",8,0)+IF(AND($I21="monsoon",$E21="woven"),10,0)+IF(AND($C21="Yes",$B21="Tirupur"),10,0)))</f>
        <v/>
      </c>
      <c r="K21" s="7">
        <f>IF($B21="","",MIN(100,15+IF($C21="Yes",10,0)+IF($B21="Tirupur",3,0)+IF($D21="Below 0.85",6,0)+IF($E21="woven",5,0)+IF($G21="Tier-3",14,0)+IF($G21="Tier-2",7,0)+IF($H21="COD",22,0)+IF($I21="festive",10,0)+IF($I21="monsoon",3,0)+IF(AND($I21="monsoon",$E21="woven"),3,0)+IF(AND($I21="festive",$H21="COD"),14,0)+IF(AND($C21="Yes",$B21="Tirupur"),2,0)+IF($J21&gt;=60,15,IF($J21&gt;=40,8,0))))</f>
        <v/>
      </c>
      <c r="L21" s="8">
        <f>IF($J21="","",IF($J21&lt;=35,"Low",IF($J21&lt;=65,"Medium","High")))</f>
        <v/>
      </c>
      <c r="M21" s="8">
        <f>IF($K21="","",IF($K21&lt;=35,"Low",IF($K21&lt;=65,"Medium","High")))</f>
        <v/>
      </c>
      <c r="N21" s="9">
        <f>IF($B21="","",IF(_xlfn.TEXTJOIN(", ",TRUE,IF($C21="Yes","New vendor",""),IF($B21="Tirupur","Tirupur cluster",""),IF($B21="Bengaluru","Bengaluru cluster",""),IF($D21="Below 0.85","Low vendor reliability",""),IF($E21="woven","Woven fabric",""),IF($F21&gt;350,"Large order (350+)",""),IF($G21="Tier-3","Tier-3 destination",""),IF($G21="Tier-2","Tier-2 destination",""),IF($H21="COD","COD payment",""),IF($I21="festive","Festive season",""),IF($I21="monsoon","Monsoon season",""))="","Baseline risk only",_xlfn.TEXTJOIN(", ",TRUE,IF($C21="Yes","New vendor",""),IF($B21="Tirupur","Tirupur cluster",""),IF($B21="Bengaluru","Bengaluru cluster",""),IF($D21="Below 0.85","Low vendor reliability",""),IF($E21="woven","Woven fabric",""),IF($F21&gt;350,"Large order (350+)",""),IF($G21="Tier-3","Tier-3 destination",""),IF($G21="Tier-2","Tier-2 destination",""),IF($H21="COD","COD payment",""),IF($I21="festive","Festive season",""),IF($I21="monsoon","Monsoon season",""))))</f>
        <v/>
      </c>
      <c r="O21" s="9">
        <f>IF($B21="","",IF(AND($L21="High",$M21="High"),"Escalate — high delay AND return risk: alternate vendor, add buffer, check sizing and payment",IF($L21="High","High delay risk — add a lead-time buffer or use a faster cluster",IF($M21="High","High return risk — tighten sizing guidance; consider a prepaid incentive",IF(OR($L21="Medium",$M21="Medium"),"Moderate risk — keep this order on the watch list","Low risk — no action needed")))))</f>
        <v/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7">
        <f>IF($B22="","",MIN(100,10+IF($C22="Yes",22,0)+IF($B22="Tirupur",14,0)+IF($B22="Bengaluru",4,0)+IF($D22="Below 0.85",12,0)+IF($E22="woven",12,0)+IF($F22&gt;350,8,0)+IF($G22="Tier-3",10,0)+IF($G22="Tier-2",5,0)+IF($H22="COD",2,0)+IF($I22="festive",12,0)+IF($I22="monsoon",8,0)+IF(AND($I22="monsoon",$E22="woven"),10,0)+IF(AND($C22="Yes",$B22="Tirupur"),10,0)))</f>
        <v/>
      </c>
      <c r="K22" s="7">
        <f>IF($B22="","",MIN(100,15+IF($C22="Yes",10,0)+IF($B22="Tirupur",3,0)+IF($D22="Below 0.85",6,0)+IF($E22="woven",5,0)+IF($G22="Tier-3",14,0)+IF($G22="Tier-2",7,0)+IF($H22="COD",22,0)+IF($I22="festive",10,0)+IF($I22="monsoon",3,0)+IF(AND($I22="monsoon",$E22="woven"),3,0)+IF(AND($I22="festive",$H22="COD"),14,0)+IF(AND($C22="Yes",$B22="Tirupur"),2,0)+IF($J22&gt;=60,15,IF($J22&gt;=40,8,0))))</f>
        <v/>
      </c>
      <c r="L22" s="8">
        <f>IF($J22="","",IF($J22&lt;=35,"Low",IF($J22&lt;=65,"Medium","High")))</f>
        <v/>
      </c>
      <c r="M22" s="8">
        <f>IF($K22="","",IF($K22&lt;=35,"Low",IF($K22&lt;=65,"Medium","High")))</f>
        <v/>
      </c>
      <c r="N22" s="9">
        <f>IF($B22="","",IF(_xlfn.TEXTJOIN(", ",TRUE,IF($C22="Yes","New vendor",""),IF($B22="Tirupur","Tirupur cluster",""),IF($B22="Bengaluru","Bengaluru cluster",""),IF($D22="Below 0.85","Low vendor reliability",""),IF($E22="woven","Woven fabric",""),IF($F22&gt;350,"Large order (350+)",""),IF($G22="Tier-3","Tier-3 destination",""),IF($G22="Tier-2","Tier-2 destination",""),IF($H22="COD","COD payment",""),IF($I22="festive","Festive season",""),IF($I22="monsoon","Monsoon season",""))="","Baseline risk only",_xlfn.TEXTJOIN(", ",TRUE,IF($C22="Yes","New vendor",""),IF($B22="Tirupur","Tirupur cluster",""),IF($B22="Bengaluru","Bengaluru cluster",""),IF($D22="Below 0.85","Low vendor reliability",""),IF($E22="woven","Woven fabric",""),IF($F22&gt;350,"Large order (350+)",""),IF($G22="Tier-3","Tier-3 destination",""),IF($G22="Tier-2","Tier-2 destination",""),IF($H22="COD","COD payment",""),IF($I22="festive","Festive season",""),IF($I22="monsoon","Monsoon season",""))))</f>
        <v/>
      </c>
      <c r="O22" s="9">
        <f>IF($B22="","",IF(AND($L22="High",$M22="High"),"Escalate — high delay AND return risk: alternate vendor, add buffer, check sizing and payment",IF($L22="High","High delay risk — add a lead-time buffer or use a faster cluster",IF($M22="High","High return risk — tighten sizing guidance; consider a prepaid incentive",IF(OR($L22="Medium",$M22="Medium"),"Moderate risk — keep this order on the watch list","Low risk — no action needed")))))</f>
        <v/>
      </c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7">
        <f>IF($B23="","",MIN(100,10+IF($C23="Yes",22,0)+IF($B23="Tirupur",14,0)+IF($B23="Bengaluru",4,0)+IF($D23="Below 0.85",12,0)+IF($E23="woven",12,0)+IF($F23&gt;350,8,0)+IF($G23="Tier-3",10,0)+IF($G23="Tier-2",5,0)+IF($H23="COD",2,0)+IF($I23="festive",12,0)+IF($I23="monsoon",8,0)+IF(AND($I23="monsoon",$E23="woven"),10,0)+IF(AND($C23="Yes",$B23="Tirupur"),10,0)))</f>
        <v/>
      </c>
      <c r="K23" s="7">
        <f>IF($B23="","",MIN(100,15+IF($C23="Yes",10,0)+IF($B23="Tirupur",3,0)+IF($D23="Below 0.85",6,0)+IF($E23="woven",5,0)+IF($G23="Tier-3",14,0)+IF($G23="Tier-2",7,0)+IF($H23="COD",22,0)+IF($I23="festive",10,0)+IF($I23="monsoon",3,0)+IF(AND($I23="monsoon",$E23="woven"),3,0)+IF(AND($I23="festive",$H23="COD"),14,0)+IF(AND($C23="Yes",$B23="Tirupur"),2,0)+IF($J23&gt;=60,15,IF($J23&gt;=40,8,0))))</f>
        <v/>
      </c>
      <c r="L23" s="8">
        <f>IF($J23="","",IF($J23&lt;=35,"Low",IF($J23&lt;=65,"Medium","High")))</f>
        <v/>
      </c>
      <c r="M23" s="8">
        <f>IF($K23="","",IF($K23&lt;=35,"Low",IF($K23&lt;=65,"Medium","High")))</f>
        <v/>
      </c>
      <c r="N23" s="9">
        <f>IF($B23="","",IF(_xlfn.TEXTJOIN(", ",TRUE,IF($C23="Yes","New vendor",""),IF($B23="Tirupur","Tirupur cluster",""),IF($B23="Bengaluru","Bengaluru cluster",""),IF($D23="Below 0.85","Low vendor reliability",""),IF($E23="woven","Woven fabric",""),IF($F23&gt;350,"Large order (350+)",""),IF($G23="Tier-3","Tier-3 destination",""),IF($G23="Tier-2","Tier-2 destination",""),IF($H23="COD","COD payment",""),IF($I23="festive","Festive season",""),IF($I23="monsoon","Monsoon season",""))="","Baseline risk only",_xlfn.TEXTJOIN(", ",TRUE,IF($C23="Yes","New vendor",""),IF($B23="Tirupur","Tirupur cluster",""),IF($B23="Bengaluru","Bengaluru cluster",""),IF($D23="Below 0.85","Low vendor reliability",""),IF($E23="woven","Woven fabric",""),IF($F23&gt;350,"Large order (350+)",""),IF($G23="Tier-3","Tier-3 destination",""),IF($G23="Tier-2","Tier-2 destination",""),IF($H23="COD","COD payment",""),IF($I23="festive","Festive season",""),IF($I23="monsoon","Monsoon season",""))))</f>
        <v/>
      </c>
      <c r="O23" s="9">
        <f>IF($B23="","",IF(AND($L23="High",$M23="High"),"Escalate — high delay AND return risk: alternate vendor, add buffer, check sizing and payment",IF($L23="High","High delay risk — add a lead-time buffer or use a faster cluster",IF($M23="High","High return risk — tighten sizing guidance; consider a prepaid incentive",IF(OR($L23="Medium",$M23="Medium"),"Moderate risk — keep this order on the watch list","Low risk — no action needed")))))</f>
        <v/>
      </c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7">
        <f>IF($B24="","",MIN(100,10+IF($C24="Yes",22,0)+IF($B24="Tirupur",14,0)+IF($B24="Bengaluru",4,0)+IF($D24="Below 0.85",12,0)+IF($E24="woven",12,0)+IF($F24&gt;350,8,0)+IF($G24="Tier-3",10,0)+IF($G24="Tier-2",5,0)+IF($H24="COD",2,0)+IF($I24="festive",12,0)+IF($I24="monsoon",8,0)+IF(AND($I24="monsoon",$E24="woven"),10,0)+IF(AND($C24="Yes",$B24="Tirupur"),10,0)))</f>
        <v/>
      </c>
      <c r="K24" s="7">
        <f>IF($B24="","",MIN(100,15+IF($C24="Yes",10,0)+IF($B24="Tirupur",3,0)+IF($D24="Below 0.85",6,0)+IF($E24="woven",5,0)+IF($G24="Tier-3",14,0)+IF($G24="Tier-2",7,0)+IF($H24="COD",22,0)+IF($I24="festive",10,0)+IF($I24="monsoon",3,0)+IF(AND($I24="monsoon",$E24="woven"),3,0)+IF(AND($I24="festive",$H24="COD"),14,0)+IF(AND($C24="Yes",$B24="Tirupur"),2,0)+IF($J24&gt;=60,15,IF($J24&gt;=40,8,0))))</f>
        <v/>
      </c>
      <c r="L24" s="8">
        <f>IF($J24="","",IF($J24&lt;=35,"Low",IF($J24&lt;=65,"Medium","High")))</f>
        <v/>
      </c>
      <c r="M24" s="8">
        <f>IF($K24="","",IF($K24&lt;=35,"Low",IF($K24&lt;=65,"Medium","High")))</f>
        <v/>
      </c>
      <c r="N24" s="9">
        <f>IF($B24="","",IF(_xlfn.TEXTJOIN(", ",TRUE,IF($C24="Yes","New vendor",""),IF($B24="Tirupur","Tirupur cluster",""),IF($B24="Bengaluru","Bengaluru cluster",""),IF($D24="Below 0.85","Low vendor reliability",""),IF($E24="woven","Woven fabric",""),IF($F24&gt;350,"Large order (350+)",""),IF($G24="Tier-3","Tier-3 destination",""),IF($G24="Tier-2","Tier-2 destination",""),IF($H24="COD","COD payment",""),IF($I24="festive","Festive season",""),IF($I24="monsoon","Monsoon season",""))="","Baseline risk only",_xlfn.TEXTJOIN(", ",TRUE,IF($C24="Yes","New vendor",""),IF($B24="Tirupur","Tirupur cluster",""),IF($B24="Bengaluru","Bengaluru cluster",""),IF($D24="Below 0.85","Low vendor reliability",""),IF($E24="woven","Woven fabric",""),IF($F24&gt;350,"Large order (350+)",""),IF($G24="Tier-3","Tier-3 destination",""),IF($G24="Tier-2","Tier-2 destination",""),IF($H24="COD","COD payment",""),IF($I24="festive","Festive season",""),IF($I24="monsoon","Monsoon season",""))))</f>
        <v/>
      </c>
      <c r="O24" s="9">
        <f>IF($B24="","",IF(AND($L24="High",$M24="High"),"Escalate — high delay AND return risk: alternate vendor, add buffer, check sizing and payment",IF($L24="High","High delay risk — add a lead-time buffer or use a faster cluster",IF($M24="High","High return risk — tighten sizing guidance; consider a prepaid incentive",IF(OR($L24="Medium",$M24="Medium"),"Moderate risk — keep this order on the watch list","Low risk — no action needed")))))</f>
        <v/>
      </c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7">
        <f>IF($B25="","",MIN(100,10+IF($C25="Yes",22,0)+IF($B25="Tirupur",14,0)+IF($B25="Bengaluru",4,0)+IF($D25="Below 0.85",12,0)+IF($E25="woven",12,0)+IF($F25&gt;350,8,0)+IF($G25="Tier-3",10,0)+IF($G25="Tier-2",5,0)+IF($H25="COD",2,0)+IF($I25="festive",12,0)+IF($I25="monsoon",8,0)+IF(AND($I25="monsoon",$E25="woven"),10,0)+IF(AND($C25="Yes",$B25="Tirupur"),10,0)))</f>
        <v/>
      </c>
      <c r="K25" s="7">
        <f>IF($B25="","",MIN(100,15+IF($C25="Yes",10,0)+IF($B25="Tirupur",3,0)+IF($D25="Below 0.85",6,0)+IF($E25="woven",5,0)+IF($G25="Tier-3",14,0)+IF($G25="Tier-2",7,0)+IF($H25="COD",22,0)+IF($I25="festive",10,0)+IF($I25="monsoon",3,0)+IF(AND($I25="monsoon",$E25="woven"),3,0)+IF(AND($I25="festive",$H25="COD"),14,0)+IF(AND($C25="Yes",$B25="Tirupur"),2,0)+IF($J25&gt;=60,15,IF($J25&gt;=40,8,0))))</f>
        <v/>
      </c>
      <c r="L25" s="8">
        <f>IF($J25="","",IF($J25&lt;=35,"Low",IF($J25&lt;=65,"Medium","High")))</f>
        <v/>
      </c>
      <c r="M25" s="8">
        <f>IF($K25="","",IF($K25&lt;=35,"Low",IF($K25&lt;=65,"Medium","High")))</f>
        <v/>
      </c>
      <c r="N25" s="9">
        <f>IF($B25="","",IF(_xlfn.TEXTJOIN(", ",TRUE,IF($C25="Yes","New vendor",""),IF($B25="Tirupur","Tirupur cluster",""),IF($B25="Bengaluru","Bengaluru cluster",""),IF($D25="Below 0.85","Low vendor reliability",""),IF($E25="woven","Woven fabric",""),IF($F25&gt;350,"Large order (350+)",""),IF($G25="Tier-3","Tier-3 destination",""),IF($G25="Tier-2","Tier-2 destination",""),IF($H25="COD","COD payment",""),IF($I25="festive","Festive season",""),IF($I25="monsoon","Monsoon season",""))="","Baseline risk only",_xlfn.TEXTJOIN(", ",TRUE,IF($C25="Yes","New vendor",""),IF($B25="Tirupur","Tirupur cluster",""),IF($B25="Bengaluru","Bengaluru cluster",""),IF($D25="Below 0.85","Low vendor reliability",""),IF($E25="woven","Woven fabric",""),IF($F25&gt;350,"Large order (350+)",""),IF($G25="Tier-3","Tier-3 destination",""),IF($G25="Tier-2","Tier-2 destination",""),IF($H25="COD","COD payment",""),IF($I25="festive","Festive season",""),IF($I25="monsoon","Monsoon season",""))))</f>
        <v/>
      </c>
      <c r="O25" s="9">
        <f>IF($B25="","",IF(AND($L25="High",$M25="High"),"Escalate — high delay AND return risk: alternate vendor, add buffer, check sizing and payment",IF($L25="High","High delay risk — add a lead-time buffer or use a faster cluster",IF($M25="High","High return risk — tighten sizing guidance; consider a prepaid incentive",IF(OR($L25="Medium",$M25="Medium"),"Moderate risk — keep this order on the watch list","Low risk — no action needed")))))</f>
        <v/>
      </c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7">
        <f>IF($B26="","",MIN(100,10+IF($C26="Yes",22,0)+IF($B26="Tirupur",14,0)+IF($B26="Bengaluru",4,0)+IF($D26="Below 0.85",12,0)+IF($E26="woven",12,0)+IF($F26&gt;350,8,0)+IF($G26="Tier-3",10,0)+IF($G26="Tier-2",5,0)+IF($H26="COD",2,0)+IF($I26="festive",12,0)+IF($I26="monsoon",8,0)+IF(AND($I26="monsoon",$E26="woven"),10,0)+IF(AND($C26="Yes",$B26="Tirupur"),10,0)))</f>
        <v/>
      </c>
      <c r="K26" s="7">
        <f>IF($B26="","",MIN(100,15+IF($C26="Yes",10,0)+IF($B26="Tirupur",3,0)+IF($D26="Below 0.85",6,0)+IF($E26="woven",5,0)+IF($G26="Tier-3",14,0)+IF($G26="Tier-2",7,0)+IF($H26="COD",22,0)+IF($I26="festive",10,0)+IF($I26="monsoon",3,0)+IF(AND($I26="monsoon",$E26="woven"),3,0)+IF(AND($I26="festive",$H26="COD"),14,0)+IF(AND($C26="Yes",$B26="Tirupur"),2,0)+IF($J26&gt;=60,15,IF($J26&gt;=40,8,0))))</f>
        <v/>
      </c>
      <c r="L26" s="8">
        <f>IF($J26="","",IF($J26&lt;=35,"Low",IF($J26&lt;=65,"Medium","High")))</f>
        <v/>
      </c>
      <c r="M26" s="8">
        <f>IF($K26="","",IF($K26&lt;=35,"Low",IF($K26&lt;=65,"Medium","High")))</f>
        <v/>
      </c>
      <c r="N26" s="9">
        <f>IF($B26="","",IF(_xlfn.TEXTJOIN(", ",TRUE,IF($C26="Yes","New vendor",""),IF($B26="Tirupur","Tirupur cluster",""),IF($B26="Bengaluru","Bengaluru cluster",""),IF($D26="Below 0.85","Low vendor reliability",""),IF($E26="woven","Woven fabric",""),IF($F26&gt;350,"Large order (350+)",""),IF($G26="Tier-3","Tier-3 destination",""),IF($G26="Tier-2","Tier-2 destination",""),IF($H26="COD","COD payment",""),IF($I26="festive","Festive season",""),IF($I26="monsoon","Monsoon season",""))="","Baseline risk only",_xlfn.TEXTJOIN(", ",TRUE,IF($C26="Yes","New vendor",""),IF($B26="Tirupur","Tirupur cluster",""),IF($B26="Bengaluru","Bengaluru cluster",""),IF($D26="Below 0.85","Low vendor reliability",""),IF($E26="woven","Woven fabric",""),IF($F26&gt;350,"Large order (350+)",""),IF($G26="Tier-3","Tier-3 destination",""),IF($G26="Tier-2","Tier-2 destination",""),IF($H26="COD","COD payment",""),IF($I26="festive","Festive season",""),IF($I26="monsoon","Monsoon season",""))))</f>
        <v/>
      </c>
      <c r="O26" s="9">
        <f>IF($B26="","",IF(AND($L26="High",$M26="High"),"Escalate — high delay AND return risk: alternate vendor, add buffer, check sizing and payment",IF($L26="High","High delay risk — add a lead-time buffer or use a faster cluster",IF($M26="High","High return risk — tighten sizing guidance; consider a prepaid incentive",IF(OR($L26="Medium",$M26="Medium"),"Moderate risk — keep this order on the watch list","Low risk — no action needed")))))</f>
        <v/>
      </c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7">
        <f>IF($B27="","",MIN(100,10+IF($C27="Yes",22,0)+IF($B27="Tirupur",14,0)+IF($B27="Bengaluru",4,0)+IF($D27="Below 0.85",12,0)+IF($E27="woven",12,0)+IF($F27&gt;350,8,0)+IF($G27="Tier-3",10,0)+IF($G27="Tier-2",5,0)+IF($H27="COD",2,0)+IF($I27="festive",12,0)+IF($I27="monsoon",8,0)+IF(AND($I27="monsoon",$E27="woven"),10,0)+IF(AND($C27="Yes",$B27="Tirupur"),10,0)))</f>
        <v/>
      </c>
      <c r="K27" s="7">
        <f>IF($B27="","",MIN(100,15+IF($C27="Yes",10,0)+IF($B27="Tirupur",3,0)+IF($D27="Below 0.85",6,0)+IF($E27="woven",5,0)+IF($G27="Tier-3",14,0)+IF($G27="Tier-2",7,0)+IF($H27="COD",22,0)+IF($I27="festive",10,0)+IF($I27="monsoon",3,0)+IF(AND($I27="monsoon",$E27="woven"),3,0)+IF(AND($I27="festive",$H27="COD"),14,0)+IF(AND($C27="Yes",$B27="Tirupur"),2,0)+IF($J27&gt;=60,15,IF($J27&gt;=40,8,0))))</f>
        <v/>
      </c>
      <c r="L27" s="8">
        <f>IF($J27="","",IF($J27&lt;=35,"Low",IF($J27&lt;=65,"Medium","High")))</f>
        <v/>
      </c>
      <c r="M27" s="8">
        <f>IF($K27="","",IF($K27&lt;=35,"Low",IF($K27&lt;=65,"Medium","High")))</f>
        <v/>
      </c>
      <c r="N27" s="9">
        <f>IF($B27="","",IF(_xlfn.TEXTJOIN(", ",TRUE,IF($C27="Yes","New vendor",""),IF($B27="Tirupur","Tirupur cluster",""),IF($B27="Bengaluru","Bengaluru cluster",""),IF($D27="Below 0.85","Low vendor reliability",""),IF($E27="woven","Woven fabric",""),IF($F27&gt;350,"Large order (350+)",""),IF($G27="Tier-3","Tier-3 destination",""),IF($G27="Tier-2","Tier-2 destination",""),IF($H27="COD","COD payment",""),IF($I27="festive","Festive season",""),IF($I27="monsoon","Monsoon season",""))="","Baseline risk only",_xlfn.TEXTJOIN(", ",TRUE,IF($C27="Yes","New vendor",""),IF($B27="Tirupur","Tirupur cluster",""),IF($B27="Bengaluru","Bengaluru cluster",""),IF($D27="Below 0.85","Low vendor reliability",""),IF($E27="woven","Woven fabric",""),IF($F27&gt;350,"Large order (350+)",""),IF($G27="Tier-3","Tier-3 destination",""),IF($G27="Tier-2","Tier-2 destination",""),IF($H27="COD","COD payment",""),IF($I27="festive","Festive season",""),IF($I27="monsoon","Monsoon season",""))))</f>
        <v/>
      </c>
      <c r="O27" s="9">
        <f>IF($B27="","",IF(AND($L27="High",$M27="High"),"Escalate — high delay AND return risk: alternate vendor, add buffer, check sizing and payment",IF($L27="High","High delay risk — add a lead-time buffer or use a faster cluster",IF($M27="High","High return risk — tighten sizing guidance; consider a prepaid incentive",IF(OR($L27="Medium",$M27="Medium"),"Moderate risk — keep this order on the watch list","Low risk — no action needed")))))</f>
        <v/>
      </c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7">
        <f>IF($B28="","",MIN(100,10+IF($C28="Yes",22,0)+IF($B28="Tirupur",14,0)+IF($B28="Bengaluru",4,0)+IF($D28="Below 0.85",12,0)+IF($E28="woven",12,0)+IF($F28&gt;350,8,0)+IF($G28="Tier-3",10,0)+IF($G28="Tier-2",5,0)+IF($H28="COD",2,0)+IF($I28="festive",12,0)+IF($I28="monsoon",8,0)+IF(AND($I28="monsoon",$E28="woven"),10,0)+IF(AND($C28="Yes",$B28="Tirupur"),10,0)))</f>
        <v/>
      </c>
      <c r="K28" s="7">
        <f>IF($B28="","",MIN(100,15+IF($C28="Yes",10,0)+IF($B28="Tirupur",3,0)+IF($D28="Below 0.85",6,0)+IF($E28="woven",5,0)+IF($G28="Tier-3",14,0)+IF($G28="Tier-2",7,0)+IF($H28="COD",22,0)+IF($I28="festive",10,0)+IF($I28="monsoon",3,0)+IF(AND($I28="monsoon",$E28="woven"),3,0)+IF(AND($I28="festive",$H28="COD"),14,0)+IF(AND($C28="Yes",$B28="Tirupur"),2,0)+IF($J28&gt;=60,15,IF($J28&gt;=40,8,0))))</f>
        <v/>
      </c>
      <c r="L28" s="8">
        <f>IF($J28="","",IF($J28&lt;=35,"Low",IF($J28&lt;=65,"Medium","High")))</f>
        <v/>
      </c>
      <c r="M28" s="8">
        <f>IF($K28="","",IF($K28&lt;=35,"Low",IF($K28&lt;=65,"Medium","High")))</f>
        <v/>
      </c>
      <c r="N28" s="9">
        <f>IF($B28="","",IF(_xlfn.TEXTJOIN(", ",TRUE,IF($C28="Yes","New vendor",""),IF($B28="Tirupur","Tirupur cluster",""),IF($B28="Bengaluru","Bengaluru cluster",""),IF($D28="Below 0.85","Low vendor reliability",""),IF($E28="woven","Woven fabric",""),IF($F28&gt;350,"Large order (350+)",""),IF($G28="Tier-3","Tier-3 destination",""),IF($G28="Tier-2","Tier-2 destination",""),IF($H28="COD","COD payment",""),IF($I28="festive","Festive season",""),IF($I28="monsoon","Monsoon season",""))="","Baseline risk only",_xlfn.TEXTJOIN(", ",TRUE,IF($C28="Yes","New vendor",""),IF($B28="Tirupur","Tirupur cluster",""),IF($B28="Bengaluru","Bengaluru cluster",""),IF($D28="Below 0.85","Low vendor reliability",""),IF($E28="woven","Woven fabric",""),IF($F28&gt;350,"Large order (350+)",""),IF($G28="Tier-3","Tier-3 destination",""),IF($G28="Tier-2","Tier-2 destination",""),IF($H28="COD","COD payment",""),IF($I28="festive","Festive season",""),IF($I28="monsoon","Monsoon season",""))))</f>
        <v/>
      </c>
      <c r="O28" s="9">
        <f>IF($B28="","",IF(AND($L28="High",$M28="High"),"Escalate — high delay AND return risk: alternate vendor, add buffer, check sizing and payment",IF($L28="High","High delay risk — add a lead-time buffer or use a faster cluster",IF($M28="High","High return risk — tighten sizing guidance; consider a prepaid incentive",IF(OR($L28="Medium",$M28="Medium"),"Moderate risk — keep this order on the watch list","Low risk — no action needed")))))</f>
        <v/>
      </c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7">
        <f>IF($B29="","",MIN(100,10+IF($C29="Yes",22,0)+IF($B29="Tirupur",14,0)+IF($B29="Bengaluru",4,0)+IF($D29="Below 0.85",12,0)+IF($E29="woven",12,0)+IF($F29&gt;350,8,0)+IF($G29="Tier-3",10,0)+IF($G29="Tier-2",5,0)+IF($H29="COD",2,0)+IF($I29="festive",12,0)+IF($I29="monsoon",8,0)+IF(AND($I29="monsoon",$E29="woven"),10,0)+IF(AND($C29="Yes",$B29="Tirupur"),10,0)))</f>
        <v/>
      </c>
      <c r="K29" s="7">
        <f>IF($B29="","",MIN(100,15+IF($C29="Yes",10,0)+IF($B29="Tirupur",3,0)+IF($D29="Below 0.85",6,0)+IF($E29="woven",5,0)+IF($G29="Tier-3",14,0)+IF($G29="Tier-2",7,0)+IF($H29="COD",22,0)+IF($I29="festive",10,0)+IF($I29="monsoon",3,0)+IF(AND($I29="monsoon",$E29="woven"),3,0)+IF(AND($I29="festive",$H29="COD"),14,0)+IF(AND($C29="Yes",$B29="Tirupur"),2,0)+IF($J29&gt;=60,15,IF($J29&gt;=40,8,0))))</f>
        <v/>
      </c>
      <c r="L29" s="8">
        <f>IF($J29="","",IF($J29&lt;=35,"Low",IF($J29&lt;=65,"Medium","High")))</f>
        <v/>
      </c>
      <c r="M29" s="8">
        <f>IF($K29="","",IF($K29&lt;=35,"Low",IF($K29&lt;=65,"Medium","High")))</f>
        <v/>
      </c>
      <c r="N29" s="9">
        <f>IF($B29="","",IF(_xlfn.TEXTJOIN(", ",TRUE,IF($C29="Yes","New vendor",""),IF($B29="Tirupur","Tirupur cluster",""),IF($B29="Bengaluru","Bengaluru cluster",""),IF($D29="Below 0.85","Low vendor reliability",""),IF($E29="woven","Woven fabric",""),IF($F29&gt;350,"Large order (350+)",""),IF($G29="Tier-3","Tier-3 destination",""),IF($G29="Tier-2","Tier-2 destination",""),IF($H29="COD","COD payment",""),IF($I29="festive","Festive season",""),IF($I29="monsoon","Monsoon season",""))="","Baseline risk only",_xlfn.TEXTJOIN(", ",TRUE,IF($C29="Yes","New vendor",""),IF($B29="Tirupur","Tirupur cluster",""),IF($B29="Bengaluru","Bengaluru cluster",""),IF($D29="Below 0.85","Low vendor reliability",""),IF($E29="woven","Woven fabric",""),IF($F29&gt;350,"Large order (350+)",""),IF($G29="Tier-3","Tier-3 destination",""),IF($G29="Tier-2","Tier-2 destination",""),IF($H29="COD","COD payment",""),IF($I29="festive","Festive season",""),IF($I29="monsoon","Monsoon season",""))))</f>
        <v/>
      </c>
      <c r="O29" s="9">
        <f>IF($B29="","",IF(AND($L29="High",$M29="High"),"Escalate — high delay AND return risk: alternate vendor, add buffer, check sizing and payment",IF($L29="High","High delay risk — add a lead-time buffer or use a faster cluster",IF($M29="High","High return risk — tighten sizing guidance; consider a prepaid incentive",IF(OR($L29="Medium",$M29="Medium"),"Moderate risk — keep this order on the watch list","Low risk — no action needed")))))</f>
        <v/>
      </c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7">
        <f>IF($B30="","",MIN(100,10+IF($C30="Yes",22,0)+IF($B30="Tirupur",14,0)+IF($B30="Bengaluru",4,0)+IF($D30="Below 0.85",12,0)+IF($E30="woven",12,0)+IF($F30&gt;350,8,0)+IF($G30="Tier-3",10,0)+IF($G30="Tier-2",5,0)+IF($H30="COD",2,0)+IF($I30="festive",12,0)+IF($I30="monsoon",8,0)+IF(AND($I30="monsoon",$E30="woven"),10,0)+IF(AND($C30="Yes",$B30="Tirupur"),10,0)))</f>
        <v/>
      </c>
      <c r="K30" s="7">
        <f>IF($B30="","",MIN(100,15+IF($C30="Yes",10,0)+IF($B30="Tirupur",3,0)+IF($D30="Below 0.85",6,0)+IF($E30="woven",5,0)+IF($G30="Tier-3",14,0)+IF($G30="Tier-2",7,0)+IF($H30="COD",22,0)+IF($I30="festive",10,0)+IF($I30="monsoon",3,0)+IF(AND($I30="monsoon",$E30="woven"),3,0)+IF(AND($I30="festive",$H30="COD"),14,0)+IF(AND($C30="Yes",$B30="Tirupur"),2,0)+IF($J30&gt;=60,15,IF($J30&gt;=40,8,0))))</f>
        <v/>
      </c>
      <c r="L30" s="8">
        <f>IF($J30="","",IF($J30&lt;=35,"Low",IF($J30&lt;=65,"Medium","High")))</f>
        <v/>
      </c>
      <c r="M30" s="8">
        <f>IF($K30="","",IF($K30&lt;=35,"Low",IF($K30&lt;=65,"Medium","High")))</f>
        <v/>
      </c>
      <c r="N30" s="9">
        <f>IF($B30="","",IF(_xlfn.TEXTJOIN(", ",TRUE,IF($C30="Yes","New vendor",""),IF($B30="Tirupur","Tirupur cluster",""),IF($B30="Bengaluru","Bengaluru cluster",""),IF($D30="Below 0.85","Low vendor reliability",""),IF($E30="woven","Woven fabric",""),IF($F30&gt;350,"Large order (350+)",""),IF($G30="Tier-3","Tier-3 destination",""),IF($G30="Tier-2","Tier-2 destination",""),IF($H30="COD","COD payment",""),IF($I30="festive","Festive season",""),IF($I30="monsoon","Monsoon season",""))="","Baseline risk only",_xlfn.TEXTJOIN(", ",TRUE,IF($C30="Yes","New vendor",""),IF($B30="Tirupur","Tirupur cluster",""),IF($B30="Bengaluru","Bengaluru cluster",""),IF($D30="Below 0.85","Low vendor reliability",""),IF($E30="woven","Woven fabric",""),IF($F30&gt;350,"Large order (350+)",""),IF($G30="Tier-3","Tier-3 destination",""),IF($G30="Tier-2","Tier-2 destination",""),IF($H30="COD","COD payment",""),IF($I30="festive","Festive season",""),IF($I30="monsoon","Monsoon season",""))))</f>
        <v/>
      </c>
      <c r="O30" s="9">
        <f>IF($B30="","",IF(AND($L30="High",$M30="High"),"Escalate — high delay AND return risk: alternate vendor, add buffer, check sizing and payment",IF($L30="High","High delay risk — add a lead-time buffer or use a faster cluster",IF($M30="High","High return risk — tighten sizing guidance; consider a prepaid incentive",IF(OR($L30="Medium",$M30="Medium"),"Moderate risk — keep this order on the watch list","Low risk — no action needed")))))</f>
        <v/>
      </c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7">
        <f>IF($B31="","",MIN(100,10+IF($C31="Yes",22,0)+IF($B31="Tirupur",14,0)+IF($B31="Bengaluru",4,0)+IF($D31="Below 0.85",12,0)+IF($E31="woven",12,0)+IF($F31&gt;350,8,0)+IF($G31="Tier-3",10,0)+IF($G31="Tier-2",5,0)+IF($H31="COD",2,0)+IF($I31="festive",12,0)+IF($I31="monsoon",8,0)+IF(AND($I31="monsoon",$E31="woven"),10,0)+IF(AND($C31="Yes",$B31="Tirupur"),10,0)))</f>
        <v/>
      </c>
      <c r="K31" s="7">
        <f>IF($B31="","",MIN(100,15+IF($C31="Yes",10,0)+IF($B31="Tirupur",3,0)+IF($D31="Below 0.85",6,0)+IF($E31="woven",5,0)+IF($G31="Tier-3",14,0)+IF($G31="Tier-2",7,0)+IF($H31="COD",22,0)+IF($I31="festive",10,0)+IF($I31="monsoon",3,0)+IF(AND($I31="monsoon",$E31="woven"),3,0)+IF(AND($I31="festive",$H31="COD"),14,0)+IF(AND($C31="Yes",$B31="Tirupur"),2,0)+IF($J31&gt;=60,15,IF($J31&gt;=40,8,0))))</f>
        <v/>
      </c>
      <c r="L31" s="8">
        <f>IF($J31="","",IF($J31&lt;=35,"Low",IF($J31&lt;=65,"Medium","High")))</f>
        <v/>
      </c>
      <c r="M31" s="8">
        <f>IF($K31="","",IF($K31&lt;=35,"Low",IF($K31&lt;=65,"Medium","High")))</f>
        <v/>
      </c>
      <c r="N31" s="9">
        <f>IF($B31="","",IF(_xlfn.TEXTJOIN(", ",TRUE,IF($C31="Yes","New vendor",""),IF($B31="Tirupur","Tirupur cluster",""),IF($B31="Bengaluru","Bengaluru cluster",""),IF($D31="Below 0.85","Low vendor reliability",""),IF($E31="woven","Woven fabric",""),IF($F31&gt;350,"Large order (350+)",""),IF($G31="Tier-3","Tier-3 destination",""),IF($G31="Tier-2","Tier-2 destination",""),IF($H31="COD","COD payment",""),IF($I31="festive","Festive season",""),IF($I31="monsoon","Monsoon season",""))="","Baseline risk only",_xlfn.TEXTJOIN(", ",TRUE,IF($C31="Yes","New vendor",""),IF($B31="Tirupur","Tirupur cluster",""),IF($B31="Bengaluru","Bengaluru cluster",""),IF($D31="Below 0.85","Low vendor reliability",""),IF($E31="woven","Woven fabric",""),IF($F31&gt;350,"Large order (350+)",""),IF($G31="Tier-3","Tier-3 destination",""),IF($G31="Tier-2","Tier-2 destination",""),IF($H31="COD","COD payment",""),IF($I31="festive","Festive season",""),IF($I31="monsoon","Monsoon season",""))))</f>
        <v/>
      </c>
      <c r="O31" s="9">
        <f>IF($B31="","",IF(AND($L31="High",$M31="High"),"Escalate — high delay AND return risk: alternate vendor, add buffer, check sizing and payment",IF($L31="High","High delay risk — add a lead-time buffer or use a faster cluster",IF($M31="High","High return risk — tighten sizing guidance; consider a prepaid incentive",IF(OR($L31="Medium",$M31="Medium"),"Moderate risk — keep this order on the watch list","Low risk — no action needed")))))</f>
        <v/>
      </c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7">
        <f>IF($B32="","",MIN(100,10+IF($C32="Yes",22,0)+IF($B32="Tirupur",14,0)+IF($B32="Bengaluru",4,0)+IF($D32="Below 0.85",12,0)+IF($E32="woven",12,0)+IF($F32&gt;350,8,0)+IF($G32="Tier-3",10,0)+IF($G32="Tier-2",5,0)+IF($H32="COD",2,0)+IF($I32="festive",12,0)+IF($I32="monsoon",8,0)+IF(AND($I32="monsoon",$E32="woven"),10,0)+IF(AND($C32="Yes",$B32="Tirupur"),10,0)))</f>
        <v/>
      </c>
      <c r="K32" s="7">
        <f>IF($B32="","",MIN(100,15+IF($C32="Yes",10,0)+IF($B32="Tirupur",3,0)+IF($D32="Below 0.85",6,0)+IF($E32="woven",5,0)+IF($G32="Tier-3",14,0)+IF($G32="Tier-2",7,0)+IF($H32="COD",22,0)+IF($I32="festive",10,0)+IF($I32="monsoon",3,0)+IF(AND($I32="monsoon",$E32="woven"),3,0)+IF(AND($I32="festive",$H32="COD"),14,0)+IF(AND($C32="Yes",$B32="Tirupur"),2,0)+IF($J32&gt;=60,15,IF($J32&gt;=40,8,0))))</f>
        <v/>
      </c>
      <c r="L32" s="8">
        <f>IF($J32="","",IF($J32&lt;=35,"Low",IF($J32&lt;=65,"Medium","High")))</f>
        <v/>
      </c>
      <c r="M32" s="8">
        <f>IF($K32="","",IF($K32&lt;=35,"Low",IF($K32&lt;=65,"Medium","High")))</f>
        <v/>
      </c>
      <c r="N32" s="9">
        <f>IF($B32="","",IF(_xlfn.TEXTJOIN(", ",TRUE,IF($C32="Yes","New vendor",""),IF($B32="Tirupur","Tirupur cluster",""),IF($B32="Bengaluru","Bengaluru cluster",""),IF($D32="Below 0.85","Low vendor reliability",""),IF($E32="woven","Woven fabric",""),IF($F32&gt;350,"Large order (350+)",""),IF($G32="Tier-3","Tier-3 destination",""),IF($G32="Tier-2","Tier-2 destination",""),IF($H32="COD","COD payment",""),IF($I32="festive","Festive season",""),IF($I32="monsoon","Monsoon season",""))="","Baseline risk only",_xlfn.TEXTJOIN(", ",TRUE,IF($C32="Yes","New vendor",""),IF($B32="Tirupur","Tirupur cluster",""),IF($B32="Bengaluru","Bengaluru cluster",""),IF($D32="Below 0.85","Low vendor reliability",""),IF($E32="woven","Woven fabric",""),IF($F32&gt;350,"Large order (350+)",""),IF($G32="Tier-3","Tier-3 destination",""),IF($G32="Tier-2","Tier-2 destination",""),IF($H32="COD","COD payment",""),IF($I32="festive","Festive season",""),IF($I32="monsoon","Monsoon season",""))))</f>
        <v/>
      </c>
      <c r="O32" s="9">
        <f>IF($B32="","",IF(AND($L32="High",$M32="High"),"Escalate — high delay AND return risk: alternate vendor, add buffer, check sizing and payment",IF($L32="High","High delay risk — add a lead-time buffer or use a faster cluster",IF($M32="High","High return risk — tighten sizing guidance; consider a prepaid incentive",IF(OR($L32="Medium",$M32="Medium"),"Moderate risk — keep this order on the watch list","Low risk — no action needed")))))</f>
        <v/>
      </c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7">
        <f>IF($B33="","",MIN(100,10+IF($C33="Yes",22,0)+IF($B33="Tirupur",14,0)+IF($B33="Bengaluru",4,0)+IF($D33="Below 0.85",12,0)+IF($E33="woven",12,0)+IF($F33&gt;350,8,0)+IF($G33="Tier-3",10,0)+IF($G33="Tier-2",5,0)+IF($H33="COD",2,0)+IF($I33="festive",12,0)+IF($I33="monsoon",8,0)+IF(AND($I33="monsoon",$E33="woven"),10,0)+IF(AND($C33="Yes",$B33="Tirupur"),10,0)))</f>
        <v/>
      </c>
      <c r="K33" s="7">
        <f>IF($B33="","",MIN(100,15+IF($C33="Yes",10,0)+IF($B33="Tirupur",3,0)+IF($D33="Below 0.85",6,0)+IF($E33="woven",5,0)+IF($G33="Tier-3",14,0)+IF($G33="Tier-2",7,0)+IF($H33="COD",22,0)+IF($I33="festive",10,0)+IF($I33="monsoon",3,0)+IF(AND($I33="monsoon",$E33="woven"),3,0)+IF(AND($I33="festive",$H33="COD"),14,0)+IF(AND($C33="Yes",$B33="Tirupur"),2,0)+IF($J33&gt;=60,15,IF($J33&gt;=40,8,0))))</f>
        <v/>
      </c>
      <c r="L33" s="8">
        <f>IF($J33="","",IF($J33&lt;=35,"Low",IF($J33&lt;=65,"Medium","High")))</f>
        <v/>
      </c>
      <c r="M33" s="8">
        <f>IF($K33="","",IF($K33&lt;=35,"Low",IF($K33&lt;=65,"Medium","High")))</f>
        <v/>
      </c>
      <c r="N33" s="9">
        <f>IF($B33="","",IF(_xlfn.TEXTJOIN(", ",TRUE,IF($C33="Yes","New vendor",""),IF($B33="Tirupur","Tirupur cluster",""),IF($B33="Bengaluru","Bengaluru cluster",""),IF($D33="Below 0.85","Low vendor reliability",""),IF($E33="woven","Woven fabric",""),IF($F33&gt;350,"Large order (350+)",""),IF($G33="Tier-3","Tier-3 destination",""),IF($G33="Tier-2","Tier-2 destination",""),IF($H33="COD","COD payment",""),IF($I33="festive","Festive season",""),IF($I33="monsoon","Monsoon season",""))="","Baseline risk only",_xlfn.TEXTJOIN(", ",TRUE,IF($C33="Yes","New vendor",""),IF($B33="Tirupur","Tirupur cluster",""),IF($B33="Bengaluru","Bengaluru cluster",""),IF($D33="Below 0.85","Low vendor reliability",""),IF($E33="woven","Woven fabric",""),IF($F33&gt;350,"Large order (350+)",""),IF($G33="Tier-3","Tier-3 destination",""),IF($G33="Tier-2","Tier-2 destination",""),IF($H33="COD","COD payment",""),IF($I33="festive","Festive season",""),IF($I33="monsoon","Monsoon season",""))))</f>
        <v/>
      </c>
      <c r="O33" s="9">
        <f>IF($B33="","",IF(AND($L33="High",$M33="High"),"Escalate — high delay AND return risk: alternate vendor, add buffer, check sizing and payment",IF($L33="High","High delay risk — add a lead-time buffer or use a faster cluster",IF($M33="High","High return risk — tighten sizing guidance; consider a prepaid incentive",IF(OR($L33="Medium",$M33="Medium"),"Moderate risk — keep this order on the watch list","Low risk — no action needed")))))</f>
        <v/>
      </c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7">
        <f>IF($B34="","",MIN(100,10+IF($C34="Yes",22,0)+IF($B34="Tirupur",14,0)+IF($B34="Bengaluru",4,0)+IF($D34="Below 0.85",12,0)+IF($E34="woven",12,0)+IF($F34&gt;350,8,0)+IF($G34="Tier-3",10,0)+IF($G34="Tier-2",5,0)+IF($H34="COD",2,0)+IF($I34="festive",12,0)+IF($I34="monsoon",8,0)+IF(AND($I34="monsoon",$E34="woven"),10,0)+IF(AND($C34="Yes",$B34="Tirupur"),10,0)))</f>
        <v/>
      </c>
      <c r="K34" s="7">
        <f>IF($B34="","",MIN(100,15+IF($C34="Yes",10,0)+IF($B34="Tirupur",3,0)+IF($D34="Below 0.85",6,0)+IF($E34="woven",5,0)+IF($G34="Tier-3",14,0)+IF($G34="Tier-2",7,0)+IF($H34="COD",22,0)+IF($I34="festive",10,0)+IF($I34="monsoon",3,0)+IF(AND($I34="monsoon",$E34="woven"),3,0)+IF(AND($I34="festive",$H34="COD"),14,0)+IF(AND($C34="Yes",$B34="Tirupur"),2,0)+IF($J34&gt;=60,15,IF($J34&gt;=40,8,0))))</f>
        <v/>
      </c>
      <c r="L34" s="8">
        <f>IF($J34="","",IF($J34&lt;=35,"Low",IF($J34&lt;=65,"Medium","High")))</f>
        <v/>
      </c>
      <c r="M34" s="8">
        <f>IF($K34="","",IF($K34&lt;=35,"Low",IF($K34&lt;=65,"Medium","High")))</f>
        <v/>
      </c>
      <c r="N34" s="9">
        <f>IF($B34="","",IF(_xlfn.TEXTJOIN(", ",TRUE,IF($C34="Yes","New vendor",""),IF($B34="Tirupur","Tirupur cluster",""),IF($B34="Bengaluru","Bengaluru cluster",""),IF($D34="Below 0.85","Low vendor reliability",""),IF($E34="woven","Woven fabric",""),IF($F34&gt;350,"Large order (350+)",""),IF($G34="Tier-3","Tier-3 destination",""),IF($G34="Tier-2","Tier-2 destination",""),IF($H34="COD","COD payment",""),IF($I34="festive","Festive season",""),IF($I34="monsoon","Monsoon season",""))="","Baseline risk only",_xlfn.TEXTJOIN(", ",TRUE,IF($C34="Yes","New vendor",""),IF($B34="Tirupur","Tirupur cluster",""),IF($B34="Bengaluru","Bengaluru cluster",""),IF($D34="Below 0.85","Low vendor reliability",""),IF($E34="woven","Woven fabric",""),IF($F34&gt;350,"Large order (350+)",""),IF($G34="Tier-3","Tier-3 destination",""),IF($G34="Tier-2","Tier-2 destination",""),IF($H34="COD","COD payment",""),IF($I34="festive","Festive season",""),IF($I34="monsoon","Monsoon season",""))))</f>
        <v/>
      </c>
      <c r="O34" s="9">
        <f>IF($B34="","",IF(AND($L34="High",$M34="High"),"Escalate — high delay AND return risk: alternate vendor, add buffer, check sizing and payment",IF($L34="High","High delay risk — add a lead-time buffer or use a faster cluster",IF($M34="High","High return risk — tighten sizing guidance; consider a prepaid incentive",IF(OR($L34="Medium",$M34="Medium"),"Moderate risk — keep this order on the watch list","Low risk — no action needed")))))</f>
        <v/>
      </c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7">
        <f>IF($B35="","",MIN(100,10+IF($C35="Yes",22,0)+IF($B35="Tirupur",14,0)+IF($B35="Bengaluru",4,0)+IF($D35="Below 0.85",12,0)+IF($E35="woven",12,0)+IF($F35&gt;350,8,0)+IF($G35="Tier-3",10,0)+IF($G35="Tier-2",5,0)+IF($H35="COD",2,0)+IF($I35="festive",12,0)+IF($I35="monsoon",8,0)+IF(AND($I35="monsoon",$E35="woven"),10,0)+IF(AND($C35="Yes",$B35="Tirupur"),10,0)))</f>
        <v/>
      </c>
      <c r="K35" s="7">
        <f>IF($B35="","",MIN(100,15+IF($C35="Yes",10,0)+IF($B35="Tirupur",3,0)+IF($D35="Below 0.85",6,0)+IF($E35="woven",5,0)+IF($G35="Tier-3",14,0)+IF($G35="Tier-2",7,0)+IF($H35="COD",22,0)+IF($I35="festive",10,0)+IF($I35="monsoon",3,0)+IF(AND($I35="monsoon",$E35="woven"),3,0)+IF(AND($I35="festive",$H35="COD"),14,0)+IF(AND($C35="Yes",$B35="Tirupur"),2,0)+IF($J35&gt;=60,15,IF($J35&gt;=40,8,0))))</f>
        <v/>
      </c>
      <c r="L35" s="8">
        <f>IF($J35="","",IF($J35&lt;=35,"Low",IF($J35&lt;=65,"Medium","High")))</f>
        <v/>
      </c>
      <c r="M35" s="8">
        <f>IF($K35="","",IF($K35&lt;=35,"Low",IF($K35&lt;=65,"Medium","High")))</f>
        <v/>
      </c>
      <c r="N35" s="9">
        <f>IF($B35="","",IF(_xlfn.TEXTJOIN(", ",TRUE,IF($C35="Yes","New vendor",""),IF($B35="Tirupur","Tirupur cluster",""),IF($B35="Bengaluru","Bengaluru cluster",""),IF($D35="Below 0.85","Low vendor reliability",""),IF($E35="woven","Woven fabric",""),IF($F35&gt;350,"Large order (350+)",""),IF($G35="Tier-3","Tier-3 destination",""),IF($G35="Tier-2","Tier-2 destination",""),IF($H35="COD","COD payment",""),IF($I35="festive","Festive season",""),IF($I35="monsoon","Monsoon season",""))="","Baseline risk only",_xlfn.TEXTJOIN(", ",TRUE,IF($C35="Yes","New vendor",""),IF($B35="Tirupur","Tirupur cluster",""),IF($B35="Bengaluru","Bengaluru cluster",""),IF($D35="Below 0.85","Low vendor reliability",""),IF($E35="woven","Woven fabric",""),IF($F35&gt;350,"Large order (350+)",""),IF($G35="Tier-3","Tier-3 destination",""),IF($G35="Tier-2","Tier-2 destination",""),IF($H35="COD","COD payment",""),IF($I35="festive","Festive season",""),IF($I35="monsoon","Monsoon season",""))))</f>
        <v/>
      </c>
      <c r="O35" s="9">
        <f>IF($B35="","",IF(AND($L35="High",$M35="High"),"Escalate — high delay AND return risk: alternate vendor, add buffer, check sizing and payment",IF($L35="High","High delay risk — add a lead-time buffer or use a faster cluster",IF($M35="High","High return risk — tighten sizing guidance; consider a prepaid incentive",IF(OR($L35="Medium",$M35="Medium"),"Moderate risk — keep this order on the watch list","Low risk — no action needed")))))</f>
        <v/>
      </c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7">
        <f>IF($B36="","",MIN(100,10+IF($C36="Yes",22,0)+IF($B36="Tirupur",14,0)+IF($B36="Bengaluru",4,0)+IF($D36="Below 0.85",12,0)+IF($E36="woven",12,0)+IF($F36&gt;350,8,0)+IF($G36="Tier-3",10,0)+IF($G36="Tier-2",5,0)+IF($H36="COD",2,0)+IF($I36="festive",12,0)+IF($I36="monsoon",8,0)+IF(AND($I36="monsoon",$E36="woven"),10,0)+IF(AND($C36="Yes",$B36="Tirupur"),10,0)))</f>
        <v/>
      </c>
      <c r="K36" s="7">
        <f>IF($B36="","",MIN(100,15+IF($C36="Yes",10,0)+IF($B36="Tirupur",3,0)+IF($D36="Below 0.85",6,0)+IF($E36="woven",5,0)+IF($G36="Tier-3",14,0)+IF($G36="Tier-2",7,0)+IF($H36="COD",22,0)+IF($I36="festive",10,0)+IF($I36="monsoon",3,0)+IF(AND($I36="monsoon",$E36="woven"),3,0)+IF(AND($I36="festive",$H36="COD"),14,0)+IF(AND($C36="Yes",$B36="Tirupur"),2,0)+IF($J36&gt;=60,15,IF($J36&gt;=40,8,0))))</f>
        <v/>
      </c>
      <c r="L36" s="8">
        <f>IF($J36="","",IF($J36&lt;=35,"Low",IF($J36&lt;=65,"Medium","High")))</f>
        <v/>
      </c>
      <c r="M36" s="8">
        <f>IF($K36="","",IF($K36&lt;=35,"Low",IF($K36&lt;=65,"Medium","High")))</f>
        <v/>
      </c>
      <c r="N36" s="9">
        <f>IF($B36="","",IF(_xlfn.TEXTJOIN(", ",TRUE,IF($C36="Yes","New vendor",""),IF($B36="Tirupur","Tirupur cluster",""),IF($B36="Bengaluru","Bengaluru cluster",""),IF($D36="Below 0.85","Low vendor reliability",""),IF($E36="woven","Woven fabric",""),IF($F36&gt;350,"Large order (350+)",""),IF($G36="Tier-3","Tier-3 destination",""),IF($G36="Tier-2","Tier-2 destination",""),IF($H36="COD","COD payment",""),IF($I36="festive","Festive season",""),IF($I36="monsoon","Monsoon season",""))="","Baseline risk only",_xlfn.TEXTJOIN(", ",TRUE,IF($C36="Yes","New vendor",""),IF($B36="Tirupur","Tirupur cluster",""),IF($B36="Bengaluru","Bengaluru cluster",""),IF($D36="Below 0.85","Low vendor reliability",""),IF($E36="woven","Woven fabric",""),IF($F36&gt;350,"Large order (350+)",""),IF($G36="Tier-3","Tier-3 destination",""),IF($G36="Tier-2","Tier-2 destination",""),IF($H36="COD","COD payment",""),IF($I36="festive","Festive season",""),IF($I36="monsoon","Monsoon season",""))))</f>
        <v/>
      </c>
      <c r="O36" s="9">
        <f>IF($B36="","",IF(AND($L36="High",$M36="High"),"Escalate — high delay AND return risk: alternate vendor, add buffer, check sizing and payment",IF($L36="High","High delay risk — add a lead-time buffer or use a faster cluster",IF($M36="High","High return risk — tighten sizing guidance; consider a prepaid incentive",IF(OR($L36="Medium",$M36="Medium"),"Moderate risk — keep this order on the watch list","Low risk — no action needed")))))</f>
        <v/>
      </c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7">
        <f>IF($B37="","",MIN(100,10+IF($C37="Yes",22,0)+IF($B37="Tirupur",14,0)+IF($B37="Bengaluru",4,0)+IF($D37="Below 0.85",12,0)+IF($E37="woven",12,0)+IF($F37&gt;350,8,0)+IF($G37="Tier-3",10,0)+IF($G37="Tier-2",5,0)+IF($H37="COD",2,0)+IF($I37="festive",12,0)+IF($I37="monsoon",8,0)+IF(AND($I37="monsoon",$E37="woven"),10,0)+IF(AND($C37="Yes",$B37="Tirupur"),10,0)))</f>
        <v/>
      </c>
      <c r="K37" s="7">
        <f>IF($B37="","",MIN(100,15+IF($C37="Yes",10,0)+IF($B37="Tirupur",3,0)+IF($D37="Below 0.85",6,0)+IF($E37="woven",5,0)+IF($G37="Tier-3",14,0)+IF($G37="Tier-2",7,0)+IF($H37="COD",22,0)+IF($I37="festive",10,0)+IF($I37="monsoon",3,0)+IF(AND($I37="monsoon",$E37="woven"),3,0)+IF(AND($I37="festive",$H37="COD"),14,0)+IF(AND($C37="Yes",$B37="Tirupur"),2,0)+IF($J37&gt;=60,15,IF($J37&gt;=40,8,0))))</f>
        <v/>
      </c>
      <c r="L37" s="8">
        <f>IF($J37="","",IF($J37&lt;=35,"Low",IF($J37&lt;=65,"Medium","High")))</f>
        <v/>
      </c>
      <c r="M37" s="8">
        <f>IF($K37="","",IF($K37&lt;=35,"Low",IF($K37&lt;=65,"Medium","High")))</f>
        <v/>
      </c>
      <c r="N37" s="9">
        <f>IF($B37="","",IF(_xlfn.TEXTJOIN(", ",TRUE,IF($C37="Yes","New vendor",""),IF($B37="Tirupur","Tirupur cluster",""),IF($B37="Bengaluru","Bengaluru cluster",""),IF($D37="Below 0.85","Low vendor reliability",""),IF($E37="woven","Woven fabric",""),IF($F37&gt;350,"Large order (350+)",""),IF($G37="Tier-3","Tier-3 destination",""),IF($G37="Tier-2","Tier-2 destination",""),IF($H37="COD","COD payment",""),IF($I37="festive","Festive season",""),IF($I37="monsoon","Monsoon season",""))="","Baseline risk only",_xlfn.TEXTJOIN(", ",TRUE,IF($C37="Yes","New vendor",""),IF($B37="Tirupur","Tirupur cluster",""),IF($B37="Bengaluru","Bengaluru cluster",""),IF($D37="Below 0.85","Low vendor reliability",""),IF($E37="woven","Woven fabric",""),IF($F37&gt;350,"Large order (350+)",""),IF($G37="Tier-3","Tier-3 destination",""),IF($G37="Tier-2","Tier-2 destination",""),IF($H37="COD","COD payment",""),IF($I37="festive","Festive season",""),IF($I37="monsoon","Monsoon season",""))))</f>
        <v/>
      </c>
      <c r="O37" s="9">
        <f>IF($B37="","",IF(AND($L37="High",$M37="High"),"Escalate — high delay AND return risk: alternate vendor, add buffer, check sizing and payment",IF($L37="High","High delay risk — add a lead-time buffer or use a faster cluster",IF($M37="High","High return risk — tighten sizing guidance; consider a prepaid incentive",IF(OR($L37="Medium",$M37="Medium"),"Moderate risk — keep this order on the watch list","Low risk — no action needed")))))</f>
        <v/>
      </c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7">
        <f>IF($B38="","",MIN(100,10+IF($C38="Yes",22,0)+IF($B38="Tirupur",14,0)+IF($B38="Bengaluru",4,0)+IF($D38="Below 0.85",12,0)+IF($E38="woven",12,0)+IF($F38&gt;350,8,0)+IF($G38="Tier-3",10,0)+IF($G38="Tier-2",5,0)+IF($H38="COD",2,0)+IF($I38="festive",12,0)+IF($I38="monsoon",8,0)+IF(AND($I38="monsoon",$E38="woven"),10,0)+IF(AND($C38="Yes",$B38="Tirupur"),10,0)))</f>
        <v/>
      </c>
      <c r="K38" s="7">
        <f>IF($B38="","",MIN(100,15+IF($C38="Yes",10,0)+IF($B38="Tirupur",3,0)+IF($D38="Below 0.85",6,0)+IF($E38="woven",5,0)+IF($G38="Tier-3",14,0)+IF($G38="Tier-2",7,0)+IF($H38="COD",22,0)+IF($I38="festive",10,0)+IF($I38="monsoon",3,0)+IF(AND($I38="monsoon",$E38="woven"),3,0)+IF(AND($I38="festive",$H38="COD"),14,0)+IF(AND($C38="Yes",$B38="Tirupur"),2,0)+IF($J38&gt;=60,15,IF($J38&gt;=40,8,0))))</f>
        <v/>
      </c>
      <c r="L38" s="8">
        <f>IF($J38="","",IF($J38&lt;=35,"Low",IF($J38&lt;=65,"Medium","High")))</f>
        <v/>
      </c>
      <c r="M38" s="8">
        <f>IF($K38="","",IF($K38&lt;=35,"Low",IF($K38&lt;=65,"Medium","High")))</f>
        <v/>
      </c>
      <c r="N38" s="9">
        <f>IF($B38="","",IF(_xlfn.TEXTJOIN(", ",TRUE,IF($C38="Yes","New vendor",""),IF($B38="Tirupur","Tirupur cluster",""),IF($B38="Bengaluru","Bengaluru cluster",""),IF($D38="Below 0.85","Low vendor reliability",""),IF($E38="woven","Woven fabric",""),IF($F38&gt;350,"Large order (350+)",""),IF($G38="Tier-3","Tier-3 destination",""),IF($G38="Tier-2","Tier-2 destination",""),IF($H38="COD","COD payment",""),IF($I38="festive","Festive season",""),IF($I38="monsoon","Monsoon season",""))="","Baseline risk only",_xlfn.TEXTJOIN(", ",TRUE,IF($C38="Yes","New vendor",""),IF($B38="Tirupur","Tirupur cluster",""),IF($B38="Bengaluru","Bengaluru cluster",""),IF($D38="Below 0.85","Low vendor reliability",""),IF($E38="woven","Woven fabric",""),IF($F38&gt;350,"Large order (350+)",""),IF($G38="Tier-3","Tier-3 destination",""),IF($G38="Tier-2","Tier-2 destination",""),IF($H38="COD","COD payment",""),IF($I38="festive","Festive season",""),IF($I38="monsoon","Monsoon season",""))))</f>
        <v/>
      </c>
      <c r="O38" s="9">
        <f>IF($B38="","",IF(AND($L38="High",$M38="High"),"Escalate — high delay AND return risk: alternate vendor, add buffer, check sizing and payment",IF($L38="High","High delay risk — add a lead-time buffer or use a faster cluster",IF($M38="High","High return risk — tighten sizing guidance; consider a prepaid incentive",IF(OR($L38="Medium",$M38="Medium"),"Moderate risk — keep this order on the watch list","Low risk — no action needed")))))</f>
        <v/>
      </c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7">
        <f>IF($B39="","",MIN(100,10+IF($C39="Yes",22,0)+IF($B39="Tirupur",14,0)+IF($B39="Bengaluru",4,0)+IF($D39="Below 0.85",12,0)+IF($E39="woven",12,0)+IF($F39&gt;350,8,0)+IF($G39="Tier-3",10,0)+IF($G39="Tier-2",5,0)+IF($H39="COD",2,0)+IF($I39="festive",12,0)+IF($I39="monsoon",8,0)+IF(AND($I39="monsoon",$E39="woven"),10,0)+IF(AND($C39="Yes",$B39="Tirupur"),10,0)))</f>
        <v/>
      </c>
      <c r="K39" s="7">
        <f>IF($B39="","",MIN(100,15+IF($C39="Yes",10,0)+IF($B39="Tirupur",3,0)+IF($D39="Below 0.85",6,0)+IF($E39="woven",5,0)+IF($G39="Tier-3",14,0)+IF($G39="Tier-2",7,0)+IF($H39="COD",22,0)+IF($I39="festive",10,0)+IF($I39="monsoon",3,0)+IF(AND($I39="monsoon",$E39="woven"),3,0)+IF(AND($I39="festive",$H39="COD"),14,0)+IF(AND($C39="Yes",$B39="Tirupur"),2,0)+IF($J39&gt;=60,15,IF($J39&gt;=40,8,0))))</f>
        <v/>
      </c>
      <c r="L39" s="8">
        <f>IF($J39="","",IF($J39&lt;=35,"Low",IF($J39&lt;=65,"Medium","High")))</f>
        <v/>
      </c>
      <c r="M39" s="8">
        <f>IF($K39="","",IF($K39&lt;=35,"Low",IF($K39&lt;=65,"Medium","High")))</f>
        <v/>
      </c>
      <c r="N39" s="9">
        <f>IF($B39="","",IF(_xlfn.TEXTJOIN(", ",TRUE,IF($C39="Yes","New vendor",""),IF($B39="Tirupur","Tirupur cluster",""),IF($B39="Bengaluru","Bengaluru cluster",""),IF($D39="Below 0.85","Low vendor reliability",""),IF($E39="woven","Woven fabric",""),IF($F39&gt;350,"Large order (350+)",""),IF($G39="Tier-3","Tier-3 destination",""),IF($G39="Tier-2","Tier-2 destination",""),IF($H39="COD","COD payment",""),IF($I39="festive","Festive season",""),IF($I39="monsoon","Monsoon season",""))="","Baseline risk only",_xlfn.TEXTJOIN(", ",TRUE,IF($C39="Yes","New vendor",""),IF($B39="Tirupur","Tirupur cluster",""),IF($B39="Bengaluru","Bengaluru cluster",""),IF($D39="Below 0.85","Low vendor reliability",""),IF($E39="woven","Woven fabric",""),IF($F39&gt;350,"Large order (350+)",""),IF($G39="Tier-3","Tier-3 destination",""),IF($G39="Tier-2","Tier-2 destination",""),IF($H39="COD","COD payment",""),IF($I39="festive","Festive season",""),IF($I39="monsoon","Monsoon season",""))))</f>
        <v/>
      </c>
      <c r="O39" s="9">
        <f>IF($B39="","",IF(AND($L39="High",$M39="High"),"Escalate — high delay AND return risk: alternate vendor, add buffer, check sizing and payment",IF($L39="High","High delay risk — add a lead-time buffer or use a faster cluster",IF($M39="High","High return risk — tighten sizing guidance; consider a prepaid incentive",IF(OR($L39="Medium",$M39="Medium"),"Moderate risk — keep this order on the watch list","Low risk — no action needed")))))</f>
        <v/>
      </c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7">
        <f>IF($B40="","",MIN(100,10+IF($C40="Yes",22,0)+IF($B40="Tirupur",14,0)+IF($B40="Bengaluru",4,0)+IF($D40="Below 0.85",12,0)+IF($E40="woven",12,0)+IF($F40&gt;350,8,0)+IF($G40="Tier-3",10,0)+IF($G40="Tier-2",5,0)+IF($H40="COD",2,0)+IF($I40="festive",12,0)+IF($I40="monsoon",8,0)+IF(AND($I40="monsoon",$E40="woven"),10,0)+IF(AND($C40="Yes",$B40="Tirupur"),10,0)))</f>
        <v/>
      </c>
      <c r="K40" s="7">
        <f>IF($B40="","",MIN(100,15+IF($C40="Yes",10,0)+IF($B40="Tirupur",3,0)+IF($D40="Below 0.85",6,0)+IF($E40="woven",5,0)+IF($G40="Tier-3",14,0)+IF($G40="Tier-2",7,0)+IF($H40="COD",22,0)+IF($I40="festive",10,0)+IF($I40="monsoon",3,0)+IF(AND($I40="monsoon",$E40="woven"),3,0)+IF(AND($I40="festive",$H40="COD"),14,0)+IF(AND($C40="Yes",$B40="Tirupur"),2,0)+IF($J40&gt;=60,15,IF($J40&gt;=40,8,0))))</f>
        <v/>
      </c>
      <c r="L40" s="8">
        <f>IF($J40="","",IF($J40&lt;=35,"Low",IF($J40&lt;=65,"Medium","High")))</f>
        <v/>
      </c>
      <c r="M40" s="8">
        <f>IF($K40="","",IF($K40&lt;=35,"Low",IF($K40&lt;=65,"Medium","High")))</f>
        <v/>
      </c>
      <c r="N40" s="9">
        <f>IF($B40="","",IF(_xlfn.TEXTJOIN(", ",TRUE,IF($C40="Yes","New vendor",""),IF($B40="Tirupur","Tirupur cluster",""),IF($B40="Bengaluru","Bengaluru cluster",""),IF($D40="Below 0.85","Low vendor reliability",""),IF($E40="woven","Woven fabric",""),IF($F40&gt;350,"Large order (350+)",""),IF($G40="Tier-3","Tier-3 destination",""),IF($G40="Tier-2","Tier-2 destination",""),IF($H40="COD","COD payment",""),IF($I40="festive","Festive season",""),IF($I40="monsoon","Monsoon season",""))="","Baseline risk only",_xlfn.TEXTJOIN(", ",TRUE,IF($C40="Yes","New vendor",""),IF($B40="Tirupur","Tirupur cluster",""),IF($B40="Bengaluru","Bengaluru cluster",""),IF($D40="Below 0.85","Low vendor reliability",""),IF($E40="woven","Woven fabric",""),IF($F40&gt;350,"Large order (350+)",""),IF($G40="Tier-3","Tier-3 destination",""),IF($G40="Tier-2","Tier-2 destination",""),IF($H40="COD","COD payment",""),IF($I40="festive","Festive season",""),IF($I40="monsoon","Monsoon season",""))))</f>
        <v/>
      </c>
      <c r="O40" s="9">
        <f>IF($B40="","",IF(AND($L40="High",$M40="High"),"Escalate — high delay AND return risk: alternate vendor, add buffer, check sizing and payment",IF($L40="High","High delay risk — add a lead-time buffer or use a faster cluster",IF($M40="High","High return risk — tighten sizing guidance; consider a prepaid incentive",IF(OR($L40="Medium",$M40="Medium"),"Moderate risk — keep this order on the watch list","Low risk — no action needed")))))</f>
        <v/>
      </c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7">
        <f>IF($B41="","",MIN(100,10+IF($C41="Yes",22,0)+IF($B41="Tirupur",14,0)+IF($B41="Bengaluru",4,0)+IF($D41="Below 0.85",12,0)+IF($E41="woven",12,0)+IF($F41&gt;350,8,0)+IF($G41="Tier-3",10,0)+IF($G41="Tier-2",5,0)+IF($H41="COD",2,0)+IF($I41="festive",12,0)+IF($I41="monsoon",8,0)+IF(AND($I41="monsoon",$E41="woven"),10,0)+IF(AND($C41="Yes",$B41="Tirupur"),10,0)))</f>
        <v/>
      </c>
      <c r="K41" s="7">
        <f>IF($B41="","",MIN(100,15+IF($C41="Yes",10,0)+IF($B41="Tirupur",3,0)+IF($D41="Below 0.85",6,0)+IF($E41="woven",5,0)+IF($G41="Tier-3",14,0)+IF($G41="Tier-2",7,0)+IF($H41="COD",22,0)+IF($I41="festive",10,0)+IF($I41="monsoon",3,0)+IF(AND($I41="monsoon",$E41="woven"),3,0)+IF(AND($I41="festive",$H41="COD"),14,0)+IF(AND($C41="Yes",$B41="Tirupur"),2,0)+IF($J41&gt;=60,15,IF($J41&gt;=40,8,0))))</f>
        <v/>
      </c>
      <c r="L41" s="8">
        <f>IF($J41="","",IF($J41&lt;=35,"Low",IF($J41&lt;=65,"Medium","High")))</f>
        <v/>
      </c>
      <c r="M41" s="8">
        <f>IF($K41="","",IF($K41&lt;=35,"Low",IF($K41&lt;=65,"Medium","High")))</f>
        <v/>
      </c>
      <c r="N41" s="9">
        <f>IF($B41="","",IF(_xlfn.TEXTJOIN(", ",TRUE,IF($C41="Yes","New vendor",""),IF($B41="Tirupur","Tirupur cluster",""),IF($B41="Bengaluru","Bengaluru cluster",""),IF($D41="Below 0.85","Low vendor reliability",""),IF($E41="woven","Woven fabric",""),IF($F41&gt;350,"Large order (350+)",""),IF($G41="Tier-3","Tier-3 destination",""),IF($G41="Tier-2","Tier-2 destination",""),IF($H41="COD","COD payment",""),IF($I41="festive","Festive season",""),IF($I41="monsoon","Monsoon season",""))="","Baseline risk only",_xlfn.TEXTJOIN(", ",TRUE,IF($C41="Yes","New vendor",""),IF($B41="Tirupur","Tirupur cluster",""),IF($B41="Bengaluru","Bengaluru cluster",""),IF($D41="Below 0.85","Low vendor reliability",""),IF($E41="woven","Woven fabric",""),IF($F41&gt;350,"Large order (350+)",""),IF($G41="Tier-3","Tier-3 destination",""),IF($G41="Tier-2","Tier-2 destination",""),IF($H41="COD","COD payment",""),IF($I41="festive","Festive season",""),IF($I41="monsoon","Monsoon season",""))))</f>
        <v/>
      </c>
      <c r="O41" s="9">
        <f>IF($B41="","",IF(AND($L41="High",$M41="High"),"Escalate — high delay AND return risk: alternate vendor, add buffer, check sizing and payment",IF($L41="High","High delay risk — add a lead-time buffer or use a faster cluster",IF($M41="High","High return risk — tighten sizing guidance; consider a prepaid incentive",IF(OR($L41="Medium",$M41="Medium"),"Moderate risk — keep this order on the watch list","Low risk — no action needed")))))</f>
        <v/>
      </c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7">
        <f>IF($B42="","",MIN(100,10+IF($C42="Yes",22,0)+IF($B42="Tirupur",14,0)+IF($B42="Bengaluru",4,0)+IF($D42="Below 0.85",12,0)+IF($E42="woven",12,0)+IF($F42&gt;350,8,0)+IF($G42="Tier-3",10,0)+IF($G42="Tier-2",5,0)+IF($H42="COD",2,0)+IF($I42="festive",12,0)+IF($I42="monsoon",8,0)+IF(AND($I42="monsoon",$E42="woven"),10,0)+IF(AND($C42="Yes",$B42="Tirupur"),10,0)))</f>
        <v/>
      </c>
      <c r="K42" s="7">
        <f>IF($B42="","",MIN(100,15+IF($C42="Yes",10,0)+IF($B42="Tirupur",3,0)+IF($D42="Below 0.85",6,0)+IF($E42="woven",5,0)+IF($G42="Tier-3",14,0)+IF($G42="Tier-2",7,0)+IF($H42="COD",22,0)+IF($I42="festive",10,0)+IF($I42="monsoon",3,0)+IF(AND($I42="monsoon",$E42="woven"),3,0)+IF(AND($I42="festive",$H42="COD"),14,0)+IF(AND($C42="Yes",$B42="Tirupur"),2,0)+IF($J42&gt;=60,15,IF($J42&gt;=40,8,0))))</f>
        <v/>
      </c>
      <c r="L42" s="8">
        <f>IF($J42="","",IF($J42&lt;=35,"Low",IF($J42&lt;=65,"Medium","High")))</f>
        <v/>
      </c>
      <c r="M42" s="8">
        <f>IF($K42="","",IF($K42&lt;=35,"Low",IF($K42&lt;=65,"Medium","High")))</f>
        <v/>
      </c>
      <c r="N42" s="9">
        <f>IF($B42="","",IF(_xlfn.TEXTJOIN(", ",TRUE,IF($C42="Yes","New vendor",""),IF($B42="Tirupur","Tirupur cluster",""),IF($B42="Bengaluru","Bengaluru cluster",""),IF($D42="Below 0.85","Low vendor reliability",""),IF($E42="woven","Woven fabric",""),IF($F42&gt;350,"Large order (350+)",""),IF($G42="Tier-3","Tier-3 destination",""),IF($G42="Tier-2","Tier-2 destination",""),IF($H42="COD","COD payment",""),IF($I42="festive","Festive season",""),IF($I42="monsoon","Monsoon season",""))="","Baseline risk only",_xlfn.TEXTJOIN(", ",TRUE,IF($C42="Yes","New vendor",""),IF($B42="Tirupur","Tirupur cluster",""),IF($B42="Bengaluru","Bengaluru cluster",""),IF($D42="Below 0.85","Low vendor reliability",""),IF($E42="woven","Woven fabric",""),IF($F42&gt;350,"Large order (350+)",""),IF($G42="Tier-3","Tier-3 destination",""),IF($G42="Tier-2","Tier-2 destination",""),IF($H42="COD","COD payment",""),IF($I42="festive","Festive season",""),IF($I42="monsoon","Monsoon season",""))))</f>
        <v/>
      </c>
      <c r="O42" s="9">
        <f>IF($B42="","",IF(AND($L42="High",$M42="High"),"Escalate — high delay AND return risk: alternate vendor, add buffer, check sizing and payment",IF($L42="High","High delay risk — add a lead-time buffer or use a faster cluster",IF($M42="High","High return risk — tighten sizing guidance; consider a prepaid incentive",IF(OR($L42="Medium",$M42="Medium"),"Moderate risk — keep this order on the watch list","Low risk — no action needed")))))</f>
        <v/>
      </c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7">
        <f>IF($B43="","",MIN(100,10+IF($C43="Yes",22,0)+IF($B43="Tirupur",14,0)+IF($B43="Bengaluru",4,0)+IF($D43="Below 0.85",12,0)+IF($E43="woven",12,0)+IF($F43&gt;350,8,0)+IF($G43="Tier-3",10,0)+IF($G43="Tier-2",5,0)+IF($H43="COD",2,0)+IF($I43="festive",12,0)+IF($I43="monsoon",8,0)+IF(AND($I43="monsoon",$E43="woven"),10,0)+IF(AND($C43="Yes",$B43="Tirupur"),10,0)))</f>
        <v/>
      </c>
      <c r="K43" s="7">
        <f>IF($B43="","",MIN(100,15+IF($C43="Yes",10,0)+IF($B43="Tirupur",3,0)+IF($D43="Below 0.85",6,0)+IF($E43="woven",5,0)+IF($G43="Tier-3",14,0)+IF($G43="Tier-2",7,0)+IF($H43="COD",22,0)+IF($I43="festive",10,0)+IF($I43="monsoon",3,0)+IF(AND($I43="monsoon",$E43="woven"),3,0)+IF(AND($I43="festive",$H43="COD"),14,0)+IF(AND($C43="Yes",$B43="Tirupur"),2,0)+IF($J43&gt;=60,15,IF($J43&gt;=40,8,0))))</f>
        <v/>
      </c>
      <c r="L43" s="8">
        <f>IF($J43="","",IF($J43&lt;=35,"Low",IF($J43&lt;=65,"Medium","High")))</f>
        <v/>
      </c>
      <c r="M43" s="8">
        <f>IF($K43="","",IF($K43&lt;=35,"Low",IF($K43&lt;=65,"Medium","High")))</f>
        <v/>
      </c>
      <c r="N43" s="9">
        <f>IF($B43="","",IF(_xlfn.TEXTJOIN(", ",TRUE,IF($C43="Yes","New vendor",""),IF($B43="Tirupur","Tirupur cluster",""),IF($B43="Bengaluru","Bengaluru cluster",""),IF($D43="Below 0.85","Low vendor reliability",""),IF($E43="woven","Woven fabric",""),IF($F43&gt;350,"Large order (350+)",""),IF($G43="Tier-3","Tier-3 destination",""),IF($G43="Tier-2","Tier-2 destination",""),IF($H43="COD","COD payment",""),IF($I43="festive","Festive season",""),IF($I43="monsoon","Monsoon season",""))="","Baseline risk only",_xlfn.TEXTJOIN(", ",TRUE,IF($C43="Yes","New vendor",""),IF($B43="Tirupur","Tirupur cluster",""),IF($B43="Bengaluru","Bengaluru cluster",""),IF($D43="Below 0.85","Low vendor reliability",""),IF($E43="woven","Woven fabric",""),IF($F43&gt;350,"Large order (350+)",""),IF($G43="Tier-3","Tier-3 destination",""),IF($G43="Tier-2","Tier-2 destination",""),IF($H43="COD","COD payment",""),IF($I43="festive","Festive season",""),IF($I43="monsoon","Monsoon season",""))))</f>
        <v/>
      </c>
      <c r="O43" s="9">
        <f>IF($B43="","",IF(AND($L43="High",$M43="High"),"Escalate — high delay AND return risk: alternate vendor, add buffer, check sizing and payment",IF($L43="High","High delay risk — add a lead-time buffer or use a faster cluster",IF($M43="High","High return risk — tighten sizing guidance; consider a prepaid incentive",IF(OR($L43="Medium",$M43="Medium"),"Moderate risk — keep this order on the watch list","Low risk — no action needed")))))</f>
        <v/>
      </c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7">
        <f>IF($B44="","",MIN(100,10+IF($C44="Yes",22,0)+IF($B44="Tirupur",14,0)+IF($B44="Bengaluru",4,0)+IF($D44="Below 0.85",12,0)+IF($E44="woven",12,0)+IF($F44&gt;350,8,0)+IF($G44="Tier-3",10,0)+IF($G44="Tier-2",5,0)+IF($H44="COD",2,0)+IF($I44="festive",12,0)+IF($I44="monsoon",8,0)+IF(AND($I44="monsoon",$E44="woven"),10,0)+IF(AND($C44="Yes",$B44="Tirupur"),10,0)))</f>
        <v/>
      </c>
      <c r="K44" s="7">
        <f>IF($B44="","",MIN(100,15+IF($C44="Yes",10,0)+IF($B44="Tirupur",3,0)+IF($D44="Below 0.85",6,0)+IF($E44="woven",5,0)+IF($G44="Tier-3",14,0)+IF($G44="Tier-2",7,0)+IF($H44="COD",22,0)+IF($I44="festive",10,0)+IF($I44="monsoon",3,0)+IF(AND($I44="monsoon",$E44="woven"),3,0)+IF(AND($I44="festive",$H44="COD"),14,0)+IF(AND($C44="Yes",$B44="Tirupur"),2,0)+IF($J44&gt;=60,15,IF($J44&gt;=40,8,0))))</f>
        <v/>
      </c>
      <c r="L44" s="8">
        <f>IF($J44="","",IF($J44&lt;=35,"Low",IF($J44&lt;=65,"Medium","High")))</f>
        <v/>
      </c>
      <c r="M44" s="8">
        <f>IF($K44="","",IF($K44&lt;=35,"Low",IF($K44&lt;=65,"Medium","High")))</f>
        <v/>
      </c>
      <c r="N44" s="9">
        <f>IF($B44="","",IF(_xlfn.TEXTJOIN(", ",TRUE,IF($C44="Yes","New vendor",""),IF($B44="Tirupur","Tirupur cluster",""),IF($B44="Bengaluru","Bengaluru cluster",""),IF($D44="Below 0.85","Low vendor reliability",""),IF($E44="woven","Woven fabric",""),IF($F44&gt;350,"Large order (350+)",""),IF($G44="Tier-3","Tier-3 destination",""),IF($G44="Tier-2","Tier-2 destination",""),IF($H44="COD","COD payment",""),IF($I44="festive","Festive season",""),IF($I44="monsoon","Monsoon season",""))="","Baseline risk only",_xlfn.TEXTJOIN(", ",TRUE,IF($C44="Yes","New vendor",""),IF($B44="Tirupur","Tirupur cluster",""),IF($B44="Bengaluru","Bengaluru cluster",""),IF($D44="Below 0.85","Low vendor reliability",""),IF($E44="woven","Woven fabric",""),IF($F44&gt;350,"Large order (350+)",""),IF($G44="Tier-3","Tier-3 destination",""),IF($G44="Tier-2","Tier-2 destination",""),IF($H44="COD","COD payment",""),IF($I44="festive","Festive season",""),IF($I44="monsoon","Monsoon season",""))))</f>
        <v/>
      </c>
      <c r="O44" s="9">
        <f>IF($B44="","",IF(AND($L44="High",$M44="High"),"Escalate — high delay AND return risk: alternate vendor, add buffer, check sizing and payment",IF($L44="High","High delay risk — add a lead-time buffer or use a faster cluster",IF($M44="High","High return risk — tighten sizing guidance; consider a prepaid incentive",IF(OR($L44="Medium",$M44="Medium"),"Moderate risk — keep this order on the watch list","Low risk — no action needed")))))</f>
        <v/>
      </c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7">
        <f>IF($B45="","",MIN(100,10+IF($C45="Yes",22,0)+IF($B45="Tirupur",14,0)+IF($B45="Bengaluru",4,0)+IF($D45="Below 0.85",12,0)+IF($E45="woven",12,0)+IF($F45&gt;350,8,0)+IF($G45="Tier-3",10,0)+IF($G45="Tier-2",5,0)+IF($H45="COD",2,0)+IF($I45="festive",12,0)+IF($I45="monsoon",8,0)+IF(AND($I45="monsoon",$E45="woven"),10,0)+IF(AND($C45="Yes",$B45="Tirupur"),10,0)))</f>
        <v/>
      </c>
      <c r="K45" s="7">
        <f>IF($B45="","",MIN(100,15+IF($C45="Yes",10,0)+IF($B45="Tirupur",3,0)+IF($D45="Below 0.85",6,0)+IF($E45="woven",5,0)+IF($G45="Tier-3",14,0)+IF($G45="Tier-2",7,0)+IF($H45="COD",22,0)+IF($I45="festive",10,0)+IF($I45="monsoon",3,0)+IF(AND($I45="monsoon",$E45="woven"),3,0)+IF(AND($I45="festive",$H45="COD"),14,0)+IF(AND($C45="Yes",$B45="Tirupur"),2,0)+IF($J45&gt;=60,15,IF($J45&gt;=40,8,0))))</f>
        <v/>
      </c>
      <c r="L45" s="8">
        <f>IF($J45="","",IF($J45&lt;=35,"Low",IF($J45&lt;=65,"Medium","High")))</f>
        <v/>
      </c>
      <c r="M45" s="8">
        <f>IF($K45="","",IF($K45&lt;=35,"Low",IF($K45&lt;=65,"Medium","High")))</f>
        <v/>
      </c>
      <c r="N45" s="9">
        <f>IF($B45="","",IF(_xlfn.TEXTJOIN(", ",TRUE,IF($C45="Yes","New vendor",""),IF($B45="Tirupur","Tirupur cluster",""),IF($B45="Bengaluru","Bengaluru cluster",""),IF($D45="Below 0.85","Low vendor reliability",""),IF($E45="woven","Woven fabric",""),IF($F45&gt;350,"Large order (350+)",""),IF($G45="Tier-3","Tier-3 destination",""),IF($G45="Tier-2","Tier-2 destination",""),IF($H45="COD","COD payment",""),IF($I45="festive","Festive season",""),IF($I45="monsoon","Monsoon season",""))="","Baseline risk only",_xlfn.TEXTJOIN(", ",TRUE,IF($C45="Yes","New vendor",""),IF($B45="Tirupur","Tirupur cluster",""),IF($B45="Bengaluru","Bengaluru cluster",""),IF($D45="Below 0.85","Low vendor reliability",""),IF($E45="woven","Woven fabric",""),IF($F45&gt;350,"Large order (350+)",""),IF($G45="Tier-3","Tier-3 destination",""),IF($G45="Tier-2","Tier-2 destination",""),IF($H45="COD","COD payment",""),IF($I45="festive","Festive season",""),IF($I45="monsoon","Monsoon season",""))))</f>
        <v/>
      </c>
      <c r="O45" s="9">
        <f>IF($B45="","",IF(AND($L45="High",$M45="High"),"Escalate — high delay AND return risk: alternate vendor, add buffer, check sizing and payment",IF($L45="High","High delay risk — add a lead-time buffer or use a faster cluster",IF($M45="High","High return risk — tighten sizing guidance; consider a prepaid incentive",IF(OR($L45="Medium",$M45="Medium"),"Moderate risk — keep this order on the watch list","Low risk — no action needed")))))</f>
        <v/>
      </c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7">
        <f>IF($B46="","",MIN(100,10+IF($C46="Yes",22,0)+IF($B46="Tirupur",14,0)+IF($B46="Bengaluru",4,0)+IF($D46="Below 0.85",12,0)+IF($E46="woven",12,0)+IF($F46&gt;350,8,0)+IF($G46="Tier-3",10,0)+IF($G46="Tier-2",5,0)+IF($H46="COD",2,0)+IF($I46="festive",12,0)+IF($I46="monsoon",8,0)+IF(AND($I46="monsoon",$E46="woven"),10,0)+IF(AND($C46="Yes",$B46="Tirupur"),10,0)))</f>
        <v/>
      </c>
      <c r="K46" s="7">
        <f>IF($B46="","",MIN(100,15+IF($C46="Yes",10,0)+IF($B46="Tirupur",3,0)+IF($D46="Below 0.85",6,0)+IF($E46="woven",5,0)+IF($G46="Tier-3",14,0)+IF($G46="Tier-2",7,0)+IF($H46="COD",22,0)+IF($I46="festive",10,0)+IF($I46="monsoon",3,0)+IF(AND($I46="monsoon",$E46="woven"),3,0)+IF(AND($I46="festive",$H46="COD"),14,0)+IF(AND($C46="Yes",$B46="Tirupur"),2,0)+IF($J46&gt;=60,15,IF($J46&gt;=40,8,0))))</f>
        <v/>
      </c>
      <c r="L46" s="8">
        <f>IF($J46="","",IF($J46&lt;=35,"Low",IF($J46&lt;=65,"Medium","High")))</f>
        <v/>
      </c>
      <c r="M46" s="8">
        <f>IF($K46="","",IF($K46&lt;=35,"Low",IF($K46&lt;=65,"Medium","High")))</f>
        <v/>
      </c>
      <c r="N46" s="9">
        <f>IF($B46="","",IF(_xlfn.TEXTJOIN(", ",TRUE,IF($C46="Yes","New vendor",""),IF($B46="Tirupur","Tirupur cluster",""),IF($B46="Bengaluru","Bengaluru cluster",""),IF($D46="Below 0.85","Low vendor reliability",""),IF($E46="woven","Woven fabric",""),IF($F46&gt;350,"Large order (350+)",""),IF($G46="Tier-3","Tier-3 destination",""),IF($G46="Tier-2","Tier-2 destination",""),IF($H46="COD","COD payment",""),IF($I46="festive","Festive season",""),IF($I46="monsoon","Monsoon season",""))="","Baseline risk only",_xlfn.TEXTJOIN(", ",TRUE,IF($C46="Yes","New vendor",""),IF($B46="Tirupur","Tirupur cluster",""),IF($B46="Bengaluru","Bengaluru cluster",""),IF($D46="Below 0.85","Low vendor reliability",""),IF($E46="woven","Woven fabric",""),IF($F46&gt;350,"Large order (350+)",""),IF($G46="Tier-3","Tier-3 destination",""),IF($G46="Tier-2","Tier-2 destination",""),IF($H46="COD","COD payment",""),IF($I46="festive","Festive season",""),IF($I46="monsoon","Monsoon season",""))))</f>
        <v/>
      </c>
      <c r="O46" s="9">
        <f>IF($B46="","",IF(AND($L46="High",$M46="High"),"Escalate — high delay AND return risk: alternate vendor, add buffer, check sizing and payment",IF($L46="High","High delay risk — add a lead-time buffer or use a faster cluster",IF($M46="High","High return risk — tighten sizing guidance; consider a prepaid incentive",IF(OR($L46="Medium",$M46="Medium"),"Moderate risk — keep this order on the watch list","Low risk — no action needed")))))</f>
        <v/>
      </c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7">
        <f>IF($B47="","",MIN(100,10+IF($C47="Yes",22,0)+IF($B47="Tirupur",14,0)+IF($B47="Bengaluru",4,0)+IF($D47="Below 0.85",12,0)+IF($E47="woven",12,0)+IF($F47&gt;350,8,0)+IF($G47="Tier-3",10,0)+IF($G47="Tier-2",5,0)+IF($H47="COD",2,0)+IF($I47="festive",12,0)+IF($I47="monsoon",8,0)+IF(AND($I47="monsoon",$E47="woven"),10,0)+IF(AND($C47="Yes",$B47="Tirupur"),10,0)))</f>
        <v/>
      </c>
      <c r="K47" s="7">
        <f>IF($B47="","",MIN(100,15+IF($C47="Yes",10,0)+IF($B47="Tirupur",3,0)+IF($D47="Below 0.85",6,0)+IF($E47="woven",5,0)+IF($G47="Tier-3",14,0)+IF($G47="Tier-2",7,0)+IF($H47="COD",22,0)+IF($I47="festive",10,0)+IF($I47="monsoon",3,0)+IF(AND($I47="monsoon",$E47="woven"),3,0)+IF(AND($I47="festive",$H47="COD"),14,0)+IF(AND($C47="Yes",$B47="Tirupur"),2,0)+IF($J47&gt;=60,15,IF($J47&gt;=40,8,0))))</f>
        <v/>
      </c>
      <c r="L47" s="8">
        <f>IF($J47="","",IF($J47&lt;=35,"Low",IF($J47&lt;=65,"Medium","High")))</f>
        <v/>
      </c>
      <c r="M47" s="8">
        <f>IF($K47="","",IF($K47&lt;=35,"Low",IF($K47&lt;=65,"Medium","High")))</f>
        <v/>
      </c>
      <c r="N47" s="9">
        <f>IF($B47="","",IF(_xlfn.TEXTJOIN(", ",TRUE,IF($C47="Yes","New vendor",""),IF($B47="Tirupur","Tirupur cluster",""),IF($B47="Bengaluru","Bengaluru cluster",""),IF($D47="Below 0.85","Low vendor reliability",""),IF($E47="woven","Woven fabric",""),IF($F47&gt;350,"Large order (350+)",""),IF($G47="Tier-3","Tier-3 destination",""),IF($G47="Tier-2","Tier-2 destination",""),IF($H47="COD","COD payment",""),IF($I47="festive","Festive season",""),IF($I47="monsoon","Monsoon season",""))="","Baseline risk only",_xlfn.TEXTJOIN(", ",TRUE,IF($C47="Yes","New vendor",""),IF($B47="Tirupur","Tirupur cluster",""),IF($B47="Bengaluru","Bengaluru cluster",""),IF($D47="Below 0.85","Low vendor reliability",""),IF($E47="woven","Woven fabric",""),IF($F47&gt;350,"Large order (350+)",""),IF($G47="Tier-3","Tier-3 destination",""),IF($G47="Tier-2","Tier-2 destination",""),IF($H47="COD","COD payment",""),IF($I47="festive","Festive season",""),IF($I47="monsoon","Monsoon season",""))))</f>
        <v/>
      </c>
      <c r="O47" s="9">
        <f>IF($B47="","",IF(AND($L47="High",$M47="High"),"Escalate — high delay AND return risk: alternate vendor, add buffer, check sizing and payment",IF($L47="High","High delay risk — add a lead-time buffer or use a faster cluster",IF($M47="High","High return risk — tighten sizing guidance; consider a prepaid incentive",IF(OR($L47="Medium",$M47="Medium"),"Moderate risk — keep this order on the watch list","Low risk — no action needed")))))</f>
        <v/>
      </c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7">
        <f>IF($B48="","",MIN(100,10+IF($C48="Yes",22,0)+IF($B48="Tirupur",14,0)+IF($B48="Bengaluru",4,0)+IF($D48="Below 0.85",12,0)+IF($E48="woven",12,0)+IF($F48&gt;350,8,0)+IF($G48="Tier-3",10,0)+IF($G48="Tier-2",5,0)+IF($H48="COD",2,0)+IF($I48="festive",12,0)+IF($I48="monsoon",8,0)+IF(AND($I48="monsoon",$E48="woven"),10,0)+IF(AND($C48="Yes",$B48="Tirupur"),10,0)))</f>
        <v/>
      </c>
      <c r="K48" s="7">
        <f>IF($B48="","",MIN(100,15+IF($C48="Yes",10,0)+IF($B48="Tirupur",3,0)+IF($D48="Below 0.85",6,0)+IF($E48="woven",5,0)+IF($G48="Tier-3",14,0)+IF($G48="Tier-2",7,0)+IF($H48="COD",22,0)+IF($I48="festive",10,0)+IF($I48="monsoon",3,0)+IF(AND($I48="monsoon",$E48="woven"),3,0)+IF(AND($I48="festive",$H48="COD"),14,0)+IF(AND($C48="Yes",$B48="Tirupur"),2,0)+IF($J48&gt;=60,15,IF($J48&gt;=40,8,0))))</f>
        <v/>
      </c>
      <c r="L48" s="8">
        <f>IF($J48="","",IF($J48&lt;=35,"Low",IF($J48&lt;=65,"Medium","High")))</f>
        <v/>
      </c>
      <c r="M48" s="8">
        <f>IF($K48="","",IF($K48&lt;=35,"Low",IF($K48&lt;=65,"Medium","High")))</f>
        <v/>
      </c>
      <c r="N48" s="9">
        <f>IF($B48="","",IF(_xlfn.TEXTJOIN(", ",TRUE,IF($C48="Yes","New vendor",""),IF($B48="Tirupur","Tirupur cluster",""),IF($B48="Bengaluru","Bengaluru cluster",""),IF($D48="Below 0.85","Low vendor reliability",""),IF($E48="woven","Woven fabric",""),IF($F48&gt;350,"Large order (350+)",""),IF($G48="Tier-3","Tier-3 destination",""),IF($G48="Tier-2","Tier-2 destination",""),IF($H48="COD","COD payment",""),IF($I48="festive","Festive season",""),IF($I48="monsoon","Monsoon season",""))="","Baseline risk only",_xlfn.TEXTJOIN(", ",TRUE,IF($C48="Yes","New vendor",""),IF($B48="Tirupur","Tirupur cluster",""),IF($B48="Bengaluru","Bengaluru cluster",""),IF($D48="Below 0.85","Low vendor reliability",""),IF($E48="woven","Woven fabric",""),IF($F48&gt;350,"Large order (350+)",""),IF($G48="Tier-3","Tier-3 destination",""),IF($G48="Tier-2","Tier-2 destination",""),IF($H48="COD","COD payment",""),IF($I48="festive","Festive season",""),IF($I48="monsoon","Monsoon season",""))))</f>
        <v/>
      </c>
      <c r="O48" s="9">
        <f>IF($B48="","",IF(AND($L48="High",$M48="High"),"Escalate — high delay AND return risk: alternate vendor, add buffer, check sizing and payment",IF($L48="High","High delay risk — add a lead-time buffer or use a faster cluster",IF($M48="High","High return risk — tighten sizing guidance; consider a prepaid incentive",IF(OR($L48="Medium",$M48="Medium"),"Moderate risk — keep this order on the watch list","Low risk — no action needed")))))</f>
        <v/>
      </c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7">
        <f>IF($B49="","",MIN(100,10+IF($C49="Yes",22,0)+IF($B49="Tirupur",14,0)+IF($B49="Bengaluru",4,0)+IF($D49="Below 0.85",12,0)+IF($E49="woven",12,0)+IF($F49&gt;350,8,0)+IF($G49="Tier-3",10,0)+IF($G49="Tier-2",5,0)+IF($H49="COD",2,0)+IF($I49="festive",12,0)+IF($I49="monsoon",8,0)+IF(AND($I49="monsoon",$E49="woven"),10,0)+IF(AND($C49="Yes",$B49="Tirupur"),10,0)))</f>
        <v/>
      </c>
      <c r="K49" s="7">
        <f>IF($B49="","",MIN(100,15+IF($C49="Yes",10,0)+IF($B49="Tirupur",3,0)+IF($D49="Below 0.85",6,0)+IF($E49="woven",5,0)+IF($G49="Tier-3",14,0)+IF($G49="Tier-2",7,0)+IF($H49="COD",22,0)+IF($I49="festive",10,0)+IF($I49="monsoon",3,0)+IF(AND($I49="monsoon",$E49="woven"),3,0)+IF(AND($I49="festive",$H49="COD"),14,0)+IF(AND($C49="Yes",$B49="Tirupur"),2,0)+IF($J49&gt;=60,15,IF($J49&gt;=40,8,0))))</f>
        <v/>
      </c>
      <c r="L49" s="8">
        <f>IF($J49="","",IF($J49&lt;=35,"Low",IF($J49&lt;=65,"Medium","High")))</f>
        <v/>
      </c>
      <c r="M49" s="8">
        <f>IF($K49="","",IF($K49&lt;=35,"Low",IF($K49&lt;=65,"Medium","High")))</f>
        <v/>
      </c>
      <c r="N49" s="9">
        <f>IF($B49="","",IF(_xlfn.TEXTJOIN(", ",TRUE,IF($C49="Yes","New vendor",""),IF($B49="Tirupur","Tirupur cluster",""),IF($B49="Bengaluru","Bengaluru cluster",""),IF($D49="Below 0.85","Low vendor reliability",""),IF($E49="woven","Woven fabric",""),IF($F49&gt;350,"Large order (350+)",""),IF($G49="Tier-3","Tier-3 destination",""),IF($G49="Tier-2","Tier-2 destination",""),IF($H49="COD","COD payment",""),IF($I49="festive","Festive season",""),IF($I49="monsoon","Monsoon season",""))="","Baseline risk only",_xlfn.TEXTJOIN(", ",TRUE,IF($C49="Yes","New vendor",""),IF($B49="Tirupur","Tirupur cluster",""),IF($B49="Bengaluru","Bengaluru cluster",""),IF($D49="Below 0.85","Low vendor reliability",""),IF($E49="woven","Woven fabric",""),IF($F49&gt;350,"Large order (350+)",""),IF($G49="Tier-3","Tier-3 destination",""),IF($G49="Tier-2","Tier-2 destination",""),IF($H49="COD","COD payment",""),IF($I49="festive","Festive season",""),IF($I49="monsoon","Monsoon season",""))))</f>
        <v/>
      </c>
      <c r="O49" s="9">
        <f>IF($B49="","",IF(AND($L49="High",$M49="High"),"Escalate — high delay AND return risk: alternate vendor, add buffer, check sizing and payment",IF($L49="High","High delay risk — add a lead-time buffer or use a faster cluster",IF($M49="High","High return risk — tighten sizing guidance; consider a prepaid incentive",IF(OR($L49="Medium",$M49="Medium"),"Moderate risk — keep this order on the watch list","Low risk — no action needed")))))</f>
        <v/>
      </c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7">
        <f>IF($B50="","",MIN(100,10+IF($C50="Yes",22,0)+IF($B50="Tirupur",14,0)+IF($B50="Bengaluru",4,0)+IF($D50="Below 0.85",12,0)+IF($E50="woven",12,0)+IF($F50&gt;350,8,0)+IF($G50="Tier-3",10,0)+IF($G50="Tier-2",5,0)+IF($H50="COD",2,0)+IF($I50="festive",12,0)+IF($I50="monsoon",8,0)+IF(AND($I50="monsoon",$E50="woven"),10,0)+IF(AND($C50="Yes",$B50="Tirupur"),10,0)))</f>
        <v/>
      </c>
      <c r="K50" s="7">
        <f>IF($B50="","",MIN(100,15+IF($C50="Yes",10,0)+IF($B50="Tirupur",3,0)+IF($D50="Below 0.85",6,0)+IF($E50="woven",5,0)+IF($G50="Tier-3",14,0)+IF($G50="Tier-2",7,0)+IF($H50="COD",22,0)+IF($I50="festive",10,0)+IF($I50="monsoon",3,0)+IF(AND($I50="monsoon",$E50="woven"),3,0)+IF(AND($I50="festive",$H50="COD"),14,0)+IF(AND($C50="Yes",$B50="Tirupur"),2,0)+IF($J50&gt;=60,15,IF($J50&gt;=40,8,0))))</f>
        <v/>
      </c>
      <c r="L50" s="8">
        <f>IF($J50="","",IF($J50&lt;=35,"Low",IF($J50&lt;=65,"Medium","High")))</f>
        <v/>
      </c>
      <c r="M50" s="8">
        <f>IF($K50="","",IF($K50&lt;=35,"Low",IF($K50&lt;=65,"Medium","High")))</f>
        <v/>
      </c>
      <c r="N50" s="9">
        <f>IF($B50="","",IF(_xlfn.TEXTJOIN(", ",TRUE,IF($C50="Yes","New vendor",""),IF($B50="Tirupur","Tirupur cluster",""),IF($B50="Bengaluru","Bengaluru cluster",""),IF($D50="Below 0.85","Low vendor reliability",""),IF($E50="woven","Woven fabric",""),IF($F50&gt;350,"Large order (350+)",""),IF($G50="Tier-3","Tier-3 destination",""),IF($G50="Tier-2","Tier-2 destination",""),IF($H50="COD","COD payment",""),IF($I50="festive","Festive season",""),IF($I50="monsoon","Monsoon season",""))="","Baseline risk only",_xlfn.TEXTJOIN(", ",TRUE,IF($C50="Yes","New vendor",""),IF($B50="Tirupur","Tirupur cluster",""),IF($B50="Bengaluru","Bengaluru cluster",""),IF($D50="Below 0.85","Low vendor reliability",""),IF($E50="woven","Woven fabric",""),IF($F50&gt;350,"Large order (350+)",""),IF($G50="Tier-3","Tier-3 destination",""),IF($G50="Tier-2","Tier-2 destination",""),IF($H50="COD","COD payment",""),IF($I50="festive","Festive season",""),IF($I50="monsoon","Monsoon season",""))))</f>
        <v/>
      </c>
      <c r="O50" s="9">
        <f>IF($B50="","",IF(AND($L50="High",$M50="High"),"Escalate — high delay AND return risk: alternate vendor, add buffer, check sizing and payment",IF($L50="High","High delay risk — add a lead-time buffer or use a faster cluster",IF($M50="High","High return risk — tighten sizing guidance; consider a prepaid incentive",IF(OR($L50="Medium",$M50="Medium"),"Moderate risk — keep this order on the watch list","Low risk — no action needed")))))</f>
        <v/>
      </c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7">
        <f>IF($B51="","",MIN(100,10+IF($C51="Yes",22,0)+IF($B51="Tirupur",14,0)+IF($B51="Bengaluru",4,0)+IF($D51="Below 0.85",12,0)+IF($E51="woven",12,0)+IF($F51&gt;350,8,0)+IF($G51="Tier-3",10,0)+IF($G51="Tier-2",5,0)+IF($H51="COD",2,0)+IF($I51="festive",12,0)+IF($I51="monsoon",8,0)+IF(AND($I51="monsoon",$E51="woven"),10,0)+IF(AND($C51="Yes",$B51="Tirupur"),10,0)))</f>
        <v/>
      </c>
      <c r="K51" s="7">
        <f>IF($B51="","",MIN(100,15+IF($C51="Yes",10,0)+IF($B51="Tirupur",3,0)+IF($D51="Below 0.85",6,0)+IF($E51="woven",5,0)+IF($G51="Tier-3",14,0)+IF($G51="Tier-2",7,0)+IF($H51="COD",22,0)+IF($I51="festive",10,0)+IF($I51="monsoon",3,0)+IF(AND($I51="monsoon",$E51="woven"),3,0)+IF(AND($I51="festive",$H51="COD"),14,0)+IF(AND($C51="Yes",$B51="Tirupur"),2,0)+IF($J51&gt;=60,15,IF($J51&gt;=40,8,0))))</f>
        <v/>
      </c>
      <c r="L51" s="8">
        <f>IF($J51="","",IF($J51&lt;=35,"Low",IF($J51&lt;=65,"Medium","High")))</f>
        <v/>
      </c>
      <c r="M51" s="8">
        <f>IF($K51="","",IF($K51&lt;=35,"Low",IF($K51&lt;=65,"Medium","High")))</f>
        <v/>
      </c>
      <c r="N51" s="9">
        <f>IF($B51="","",IF(_xlfn.TEXTJOIN(", ",TRUE,IF($C51="Yes","New vendor",""),IF($B51="Tirupur","Tirupur cluster",""),IF($B51="Bengaluru","Bengaluru cluster",""),IF($D51="Below 0.85","Low vendor reliability",""),IF($E51="woven","Woven fabric",""),IF($F51&gt;350,"Large order (350+)",""),IF($G51="Tier-3","Tier-3 destination",""),IF($G51="Tier-2","Tier-2 destination",""),IF($H51="COD","COD payment",""),IF($I51="festive","Festive season",""),IF($I51="monsoon","Monsoon season",""))="","Baseline risk only",_xlfn.TEXTJOIN(", ",TRUE,IF($C51="Yes","New vendor",""),IF($B51="Tirupur","Tirupur cluster",""),IF($B51="Bengaluru","Bengaluru cluster",""),IF($D51="Below 0.85","Low vendor reliability",""),IF($E51="woven","Woven fabric",""),IF($F51&gt;350,"Large order (350+)",""),IF($G51="Tier-3","Tier-3 destination",""),IF($G51="Tier-2","Tier-2 destination",""),IF($H51="COD","COD payment",""),IF($I51="festive","Festive season",""),IF($I51="monsoon","Monsoon season",""))))</f>
        <v/>
      </c>
      <c r="O51" s="9">
        <f>IF($B51="","",IF(AND($L51="High",$M51="High"),"Escalate — high delay AND return risk: alternate vendor, add buffer, check sizing and payment",IF($L51="High","High delay risk — add a lead-time buffer or use a faster cluster",IF($M51="High","High return risk — tighten sizing guidance; consider a prepaid incentive",IF(OR($L51="Medium",$M51="Medium"),"Moderate risk — keep this order on the watch list","Low risk — no action needed")))))</f>
        <v/>
      </c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7">
        <f>IF($B52="","",MIN(100,10+IF($C52="Yes",22,0)+IF($B52="Tirupur",14,0)+IF($B52="Bengaluru",4,0)+IF($D52="Below 0.85",12,0)+IF($E52="woven",12,0)+IF($F52&gt;350,8,0)+IF($G52="Tier-3",10,0)+IF($G52="Tier-2",5,0)+IF($H52="COD",2,0)+IF($I52="festive",12,0)+IF($I52="monsoon",8,0)+IF(AND($I52="monsoon",$E52="woven"),10,0)+IF(AND($C52="Yes",$B52="Tirupur"),10,0)))</f>
        <v/>
      </c>
      <c r="K52" s="7">
        <f>IF($B52="","",MIN(100,15+IF($C52="Yes",10,0)+IF($B52="Tirupur",3,0)+IF($D52="Below 0.85",6,0)+IF($E52="woven",5,0)+IF($G52="Tier-3",14,0)+IF($G52="Tier-2",7,0)+IF($H52="COD",22,0)+IF($I52="festive",10,0)+IF($I52="monsoon",3,0)+IF(AND($I52="monsoon",$E52="woven"),3,0)+IF(AND($I52="festive",$H52="COD"),14,0)+IF(AND($C52="Yes",$B52="Tirupur"),2,0)+IF($J52&gt;=60,15,IF($J52&gt;=40,8,0))))</f>
        <v/>
      </c>
      <c r="L52" s="8">
        <f>IF($J52="","",IF($J52&lt;=35,"Low",IF($J52&lt;=65,"Medium","High")))</f>
        <v/>
      </c>
      <c r="M52" s="8">
        <f>IF($K52="","",IF($K52&lt;=35,"Low",IF($K52&lt;=65,"Medium","High")))</f>
        <v/>
      </c>
      <c r="N52" s="9">
        <f>IF($B52="","",IF(_xlfn.TEXTJOIN(", ",TRUE,IF($C52="Yes","New vendor",""),IF($B52="Tirupur","Tirupur cluster",""),IF($B52="Bengaluru","Bengaluru cluster",""),IF($D52="Below 0.85","Low vendor reliability",""),IF($E52="woven","Woven fabric",""),IF($F52&gt;350,"Large order (350+)",""),IF($G52="Tier-3","Tier-3 destination",""),IF($G52="Tier-2","Tier-2 destination",""),IF($H52="COD","COD payment",""),IF($I52="festive","Festive season",""),IF($I52="monsoon","Monsoon season",""))="","Baseline risk only",_xlfn.TEXTJOIN(", ",TRUE,IF($C52="Yes","New vendor",""),IF($B52="Tirupur","Tirupur cluster",""),IF($B52="Bengaluru","Bengaluru cluster",""),IF($D52="Below 0.85","Low vendor reliability",""),IF($E52="woven","Woven fabric",""),IF($F52&gt;350,"Large order (350+)",""),IF($G52="Tier-3","Tier-3 destination",""),IF($G52="Tier-2","Tier-2 destination",""),IF($H52="COD","COD payment",""),IF($I52="festive","Festive season",""),IF($I52="monsoon","Monsoon season",""))))</f>
        <v/>
      </c>
      <c r="O52" s="9">
        <f>IF($B52="","",IF(AND($L52="High",$M52="High"),"Escalate — high delay AND return risk: alternate vendor, add buffer, check sizing and payment",IF($L52="High","High delay risk — add a lead-time buffer or use a faster cluster",IF($M52="High","High return risk — tighten sizing guidance; consider a prepaid incentive",IF(OR($L52="Medium",$M52="Medium"),"Moderate risk — keep this order on the watch list","Low risk — no action needed")))))</f>
        <v/>
      </c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7">
        <f>IF($B53="","",MIN(100,10+IF($C53="Yes",22,0)+IF($B53="Tirupur",14,0)+IF($B53="Bengaluru",4,0)+IF($D53="Below 0.85",12,0)+IF($E53="woven",12,0)+IF($F53&gt;350,8,0)+IF($G53="Tier-3",10,0)+IF($G53="Tier-2",5,0)+IF($H53="COD",2,0)+IF($I53="festive",12,0)+IF($I53="monsoon",8,0)+IF(AND($I53="monsoon",$E53="woven"),10,0)+IF(AND($C53="Yes",$B53="Tirupur"),10,0)))</f>
        <v/>
      </c>
      <c r="K53" s="7">
        <f>IF($B53="","",MIN(100,15+IF($C53="Yes",10,0)+IF($B53="Tirupur",3,0)+IF($D53="Below 0.85",6,0)+IF($E53="woven",5,0)+IF($G53="Tier-3",14,0)+IF($G53="Tier-2",7,0)+IF($H53="COD",22,0)+IF($I53="festive",10,0)+IF($I53="monsoon",3,0)+IF(AND($I53="monsoon",$E53="woven"),3,0)+IF(AND($I53="festive",$H53="COD"),14,0)+IF(AND($C53="Yes",$B53="Tirupur"),2,0)+IF($J53&gt;=60,15,IF($J53&gt;=40,8,0))))</f>
        <v/>
      </c>
      <c r="L53" s="8">
        <f>IF($J53="","",IF($J53&lt;=35,"Low",IF($J53&lt;=65,"Medium","High")))</f>
        <v/>
      </c>
      <c r="M53" s="8">
        <f>IF($K53="","",IF($K53&lt;=35,"Low",IF($K53&lt;=65,"Medium","High")))</f>
        <v/>
      </c>
      <c r="N53" s="9">
        <f>IF($B53="","",IF(_xlfn.TEXTJOIN(", ",TRUE,IF($C53="Yes","New vendor",""),IF($B53="Tirupur","Tirupur cluster",""),IF($B53="Bengaluru","Bengaluru cluster",""),IF($D53="Below 0.85","Low vendor reliability",""),IF($E53="woven","Woven fabric",""),IF($F53&gt;350,"Large order (350+)",""),IF($G53="Tier-3","Tier-3 destination",""),IF($G53="Tier-2","Tier-2 destination",""),IF($H53="COD","COD payment",""),IF($I53="festive","Festive season",""),IF($I53="monsoon","Monsoon season",""))="","Baseline risk only",_xlfn.TEXTJOIN(", ",TRUE,IF($C53="Yes","New vendor",""),IF($B53="Tirupur","Tirupur cluster",""),IF($B53="Bengaluru","Bengaluru cluster",""),IF($D53="Below 0.85","Low vendor reliability",""),IF($E53="woven","Woven fabric",""),IF($F53&gt;350,"Large order (350+)",""),IF($G53="Tier-3","Tier-3 destination",""),IF($G53="Tier-2","Tier-2 destination",""),IF($H53="COD","COD payment",""),IF($I53="festive","Festive season",""),IF($I53="monsoon","Monsoon season",""))))</f>
        <v/>
      </c>
      <c r="O53" s="9">
        <f>IF($B53="","",IF(AND($L53="High",$M53="High"),"Escalate — high delay AND return risk: alternate vendor, add buffer, check sizing and payment",IF($L53="High","High delay risk — add a lead-time buffer or use a faster cluster",IF($M53="High","High return risk — tighten sizing guidance; consider a prepaid incentive",IF(OR($L53="Medium",$M53="Medium"),"Moderate risk — keep this order on the watch list","Low risk — no action needed")))))</f>
        <v/>
      </c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7">
        <f>IF($B54="","",MIN(100,10+IF($C54="Yes",22,0)+IF($B54="Tirupur",14,0)+IF($B54="Bengaluru",4,0)+IF($D54="Below 0.85",12,0)+IF($E54="woven",12,0)+IF($F54&gt;350,8,0)+IF($G54="Tier-3",10,0)+IF($G54="Tier-2",5,0)+IF($H54="COD",2,0)+IF($I54="festive",12,0)+IF($I54="monsoon",8,0)+IF(AND($I54="monsoon",$E54="woven"),10,0)+IF(AND($C54="Yes",$B54="Tirupur"),10,0)))</f>
        <v/>
      </c>
      <c r="K54" s="7">
        <f>IF($B54="","",MIN(100,15+IF($C54="Yes",10,0)+IF($B54="Tirupur",3,0)+IF($D54="Below 0.85",6,0)+IF($E54="woven",5,0)+IF($G54="Tier-3",14,0)+IF($G54="Tier-2",7,0)+IF($H54="COD",22,0)+IF($I54="festive",10,0)+IF($I54="monsoon",3,0)+IF(AND($I54="monsoon",$E54="woven"),3,0)+IF(AND($I54="festive",$H54="COD"),14,0)+IF(AND($C54="Yes",$B54="Tirupur"),2,0)+IF($J54&gt;=60,15,IF($J54&gt;=40,8,0))))</f>
        <v/>
      </c>
      <c r="L54" s="8">
        <f>IF($J54="","",IF($J54&lt;=35,"Low",IF($J54&lt;=65,"Medium","High")))</f>
        <v/>
      </c>
      <c r="M54" s="8">
        <f>IF($K54="","",IF($K54&lt;=35,"Low",IF($K54&lt;=65,"Medium","High")))</f>
        <v/>
      </c>
      <c r="N54" s="9">
        <f>IF($B54="","",IF(_xlfn.TEXTJOIN(", ",TRUE,IF($C54="Yes","New vendor",""),IF($B54="Tirupur","Tirupur cluster",""),IF($B54="Bengaluru","Bengaluru cluster",""),IF($D54="Below 0.85","Low vendor reliability",""),IF($E54="woven","Woven fabric",""),IF($F54&gt;350,"Large order (350+)",""),IF($G54="Tier-3","Tier-3 destination",""),IF($G54="Tier-2","Tier-2 destination",""),IF($H54="COD","COD payment",""),IF($I54="festive","Festive season",""),IF($I54="monsoon","Monsoon season",""))="","Baseline risk only",_xlfn.TEXTJOIN(", ",TRUE,IF($C54="Yes","New vendor",""),IF($B54="Tirupur","Tirupur cluster",""),IF($B54="Bengaluru","Bengaluru cluster",""),IF($D54="Below 0.85","Low vendor reliability",""),IF($E54="woven","Woven fabric",""),IF($F54&gt;350,"Large order (350+)",""),IF($G54="Tier-3","Tier-3 destination",""),IF($G54="Tier-2","Tier-2 destination",""),IF($H54="COD","COD payment",""),IF($I54="festive","Festive season",""),IF($I54="monsoon","Monsoon season",""))))</f>
        <v/>
      </c>
      <c r="O54" s="9">
        <f>IF($B54="","",IF(AND($L54="High",$M54="High"),"Escalate — high delay AND return risk: alternate vendor, add buffer, check sizing and payment",IF($L54="High","High delay risk — add a lead-time buffer or use a faster cluster",IF($M54="High","High return risk — tighten sizing guidance; consider a prepaid incentive",IF(OR($L54="Medium",$M54="Medium"),"Moderate risk — keep this order on the watch list","Low risk — no action needed")))))</f>
        <v/>
      </c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7">
        <f>IF($B55="","",MIN(100,10+IF($C55="Yes",22,0)+IF($B55="Tirupur",14,0)+IF($B55="Bengaluru",4,0)+IF($D55="Below 0.85",12,0)+IF($E55="woven",12,0)+IF($F55&gt;350,8,0)+IF($G55="Tier-3",10,0)+IF($G55="Tier-2",5,0)+IF($H55="COD",2,0)+IF($I55="festive",12,0)+IF($I55="monsoon",8,0)+IF(AND($I55="monsoon",$E55="woven"),10,0)+IF(AND($C55="Yes",$B55="Tirupur"),10,0)))</f>
        <v/>
      </c>
      <c r="K55" s="7">
        <f>IF($B55="","",MIN(100,15+IF($C55="Yes",10,0)+IF($B55="Tirupur",3,0)+IF($D55="Below 0.85",6,0)+IF($E55="woven",5,0)+IF($G55="Tier-3",14,0)+IF($G55="Tier-2",7,0)+IF($H55="COD",22,0)+IF($I55="festive",10,0)+IF($I55="monsoon",3,0)+IF(AND($I55="monsoon",$E55="woven"),3,0)+IF(AND($I55="festive",$H55="COD"),14,0)+IF(AND($C55="Yes",$B55="Tirupur"),2,0)+IF($J55&gt;=60,15,IF($J55&gt;=40,8,0))))</f>
        <v/>
      </c>
      <c r="L55" s="8">
        <f>IF($J55="","",IF($J55&lt;=35,"Low",IF($J55&lt;=65,"Medium","High")))</f>
        <v/>
      </c>
      <c r="M55" s="8">
        <f>IF($K55="","",IF($K55&lt;=35,"Low",IF($K55&lt;=65,"Medium","High")))</f>
        <v/>
      </c>
      <c r="N55" s="9">
        <f>IF($B55="","",IF(_xlfn.TEXTJOIN(", ",TRUE,IF($C55="Yes","New vendor",""),IF($B55="Tirupur","Tirupur cluster",""),IF($B55="Bengaluru","Bengaluru cluster",""),IF($D55="Below 0.85","Low vendor reliability",""),IF($E55="woven","Woven fabric",""),IF($F55&gt;350,"Large order (350+)",""),IF($G55="Tier-3","Tier-3 destination",""),IF($G55="Tier-2","Tier-2 destination",""),IF($H55="COD","COD payment",""),IF($I55="festive","Festive season",""),IF($I55="monsoon","Monsoon season",""))="","Baseline risk only",_xlfn.TEXTJOIN(", ",TRUE,IF($C55="Yes","New vendor",""),IF($B55="Tirupur","Tirupur cluster",""),IF($B55="Bengaluru","Bengaluru cluster",""),IF($D55="Below 0.85","Low vendor reliability",""),IF($E55="woven","Woven fabric",""),IF($F55&gt;350,"Large order (350+)",""),IF($G55="Tier-3","Tier-3 destination",""),IF($G55="Tier-2","Tier-2 destination",""),IF($H55="COD","COD payment",""),IF($I55="festive","Festive season",""),IF($I55="monsoon","Monsoon season",""))))</f>
        <v/>
      </c>
      <c r="O55" s="9">
        <f>IF($B55="","",IF(AND($L55="High",$M55="High"),"Escalate — high delay AND return risk: alternate vendor, add buffer, check sizing and payment",IF($L55="High","High delay risk — add a lead-time buffer or use a faster cluster",IF($M55="High","High return risk — tighten sizing guidance; consider a prepaid incentive",IF(OR($L55="Medium",$M55="Medium"),"Moderate risk — keep this order on the watch list","Low risk — no action needed")))))</f>
        <v/>
      </c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7">
        <f>IF($B56="","",MIN(100,10+IF($C56="Yes",22,0)+IF($B56="Tirupur",14,0)+IF($B56="Bengaluru",4,0)+IF($D56="Below 0.85",12,0)+IF($E56="woven",12,0)+IF($F56&gt;350,8,0)+IF($G56="Tier-3",10,0)+IF($G56="Tier-2",5,0)+IF($H56="COD",2,0)+IF($I56="festive",12,0)+IF($I56="monsoon",8,0)+IF(AND($I56="monsoon",$E56="woven"),10,0)+IF(AND($C56="Yes",$B56="Tirupur"),10,0)))</f>
        <v/>
      </c>
      <c r="K56" s="7">
        <f>IF($B56="","",MIN(100,15+IF($C56="Yes",10,0)+IF($B56="Tirupur",3,0)+IF($D56="Below 0.85",6,0)+IF($E56="woven",5,0)+IF($G56="Tier-3",14,0)+IF($G56="Tier-2",7,0)+IF($H56="COD",22,0)+IF($I56="festive",10,0)+IF($I56="monsoon",3,0)+IF(AND($I56="monsoon",$E56="woven"),3,0)+IF(AND($I56="festive",$H56="COD"),14,0)+IF(AND($C56="Yes",$B56="Tirupur"),2,0)+IF($J56&gt;=60,15,IF($J56&gt;=40,8,0))))</f>
        <v/>
      </c>
      <c r="L56" s="8">
        <f>IF($J56="","",IF($J56&lt;=35,"Low",IF($J56&lt;=65,"Medium","High")))</f>
        <v/>
      </c>
      <c r="M56" s="8">
        <f>IF($K56="","",IF($K56&lt;=35,"Low",IF($K56&lt;=65,"Medium","High")))</f>
        <v/>
      </c>
      <c r="N56" s="9">
        <f>IF($B56="","",IF(_xlfn.TEXTJOIN(", ",TRUE,IF($C56="Yes","New vendor",""),IF($B56="Tirupur","Tirupur cluster",""),IF($B56="Bengaluru","Bengaluru cluster",""),IF($D56="Below 0.85","Low vendor reliability",""),IF($E56="woven","Woven fabric",""),IF($F56&gt;350,"Large order (350+)",""),IF($G56="Tier-3","Tier-3 destination",""),IF($G56="Tier-2","Tier-2 destination",""),IF($H56="COD","COD payment",""),IF($I56="festive","Festive season",""),IF($I56="monsoon","Monsoon season",""))="","Baseline risk only",_xlfn.TEXTJOIN(", ",TRUE,IF($C56="Yes","New vendor",""),IF($B56="Tirupur","Tirupur cluster",""),IF($B56="Bengaluru","Bengaluru cluster",""),IF($D56="Below 0.85","Low vendor reliability",""),IF($E56="woven","Woven fabric",""),IF($F56&gt;350,"Large order (350+)",""),IF($G56="Tier-3","Tier-3 destination",""),IF($G56="Tier-2","Tier-2 destination",""),IF($H56="COD","COD payment",""),IF($I56="festive","Festive season",""),IF($I56="monsoon","Monsoon season",""))))</f>
        <v/>
      </c>
      <c r="O56" s="9">
        <f>IF($B56="","",IF(AND($L56="High",$M56="High"),"Escalate — high delay AND return risk: alternate vendor, add buffer, check sizing and payment",IF($L56="High","High delay risk — add a lead-time buffer or use a faster cluster",IF($M56="High","High return risk — tighten sizing guidance; consider a prepaid incentive",IF(OR($L56="Medium",$M56="Medium"),"Moderate risk — keep this order on the watch list","Low risk — no action needed")))))</f>
        <v/>
      </c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7">
        <f>IF($B57="","",MIN(100,10+IF($C57="Yes",22,0)+IF($B57="Tirupur",14,0)+IF($B57="Bengaluru",4,0)+IF($D57="Below 0.85",12,0)+IF($E57="woven",12,0)+IF($F57&gt;350,8,0)+IF($G57="Tier-3",10,0)+IF($G57="Tier-2",5,0)+IF($H57="COD",2,0)+IF($I57="festive",12,0)+IF($I57="monsoon",8,0)+IF(AND($I57="monsoon",$E57="woven"),10,0)+IF(AND($C57="Yes",$B57="Tirupur"),10,0)))</f>
        <v/>
      </c>
      <c r="K57" s="7">
        <f>IF($B57="","",MIN(100,15+IF($C57="Yes",10,0)+IF($B57="Tirupur",3,0)+IF($D57="Below 0.85",6,0)+IF($E57="woven",5,0)+IF($G57="Tier-3",14,0)+IF($G57="Tier-2",7,0)+IF($H57="COD",22,0)+IF($I57="festive",10,0)+IF($I57="monsoon",3,0)+IF(AND($I57="monsoon",$E57="woven"),3,0)+IF(AND($I57="festive",$H57="COD"),14,0)+IF(AND($C57="Yes",$B57="Tirupur"),2,0)+IF($J57&gt;=60,15,IF($J57&gt;=40,8,0))))</f>
        <v/>
      </c>
      <c r="L57" s="8">
        <f>IF($J57="","",IF($J57&lt;=35,"Low",IF($J57&lt;=65,"Medium","High")))</f>
        <v/>
      </c>
      <c r="M57" s="8">
        <f>IF($K57="","",IF($K57&lt;=35,"Low",IF($K57&lt;=65,"Medium","High")))</f>
        <v/>
      </c>
      <c r="N57" s="9">
        <f>IF($B57="","",IF(_xlfn.TEXTJOIN(", ",TRUE,IF($C57="Yes","New vendor",""),IF($B57="Tirupur","Tirupur cluster",""),IF($B57="Bengaluru","Bengaluru cluster",""),IF($D57="Below 0.85","Low vendor reliability",""),IF($E57="woven","Woven fabric",""),IF($F57&gt;350,"Large order (350+)",""),IF($G57="Tier-3","Tier-3 destination",""),IF($G57="Tier-2","Tier-2 destination",""),IF($H57="COD","COD payment",""),IF($I57="festive","Festive season",""),IF($I57="monsoon","Monsoon season",""))="","Baseline risk only",_xlfn.TEXTJOIN(", ",TRUE,IF($C57="Yes","New vendor",""),IF($B57="Tirupur","Tirupur cluster",""),IF($B57="Bengaluru","Bengaluru cluster",""),IF($D57="Below 0.85","Low vendor reliability",""),IF($E57="woven","Woven fabric",""),IF($F57&gt;350,"Large order (350+)",""),IF($G57="Tier-3","Tier-3 destination",""),IF($G57="Tier-2","Tier-2 destination",""),IF($H57="COD","COD payment",""),IF($I57="festive","Festive season",""),IF($I57="monsoon","Monsoon season",""))))</f>
        <v/>
      </c>
      <c r="O57" s="9">
        <f>IF($B57="","",IF(AND($L57="High",$M57="High"),"Escalate — high delay AND return risk: alternate vendor, add buffer, check sizing and payment",IF($L57="High","High delay risk — add a lead-time buffer or use a faster cluster",IF($M57="High","High return risk — tighten sizing guidance; consider a prepaid incentive",IF(OR($L57="Medium",$M57="Medium"),"Moderate risk — keep this order on the watch list","Low risk — no action needed")))))</f>
        <v/>
      </c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7">
        <f>IF($B58="","",MIN(100,10+IF($C58="Yes",22,0)+IF($B58="Tirupur",14,0)+IF($B58="Bengaluru",4,0)+IF($D58="Below 0.85",12,0)+IF($E58="woven",12,0)+IF($F58&gt;350,8,0)+IF($G58="Tier-3",10,0)+IF($G58="Tier-2",5,0)+IF($H58="COD",2,0)+IF($I58="festive",12,0)+IF($I58="monsoon",8,0)+IF(AND($I58="monsoon",$E58="woven"),10,0)+IF(AND($C58="Yes",$B58="Tirupur"),10,0)))</f>
        <v/>
      </c>
      <c r="K58" s="7">
        <f>IF($B58="","",MIN(100,15+IF($C58="Yes",10,0)+IF($B58="Tirupur",3,0)+IF($D58="Below 0.85",6,0)+IF($E58="woven",5,0)+IF($G58="Tier-3",14,0)+IF($G58="Tier-2",7,0)+IF($H58="COD",22,0)+IF($I58="festive",10,0)+IF($I58="monsoon",3,0)+IF(AND($I58="monsoon",$E58="woven"),3,0)+IF(AND($I58="festive",$H58="COD"),14,0)+IF(AND($C58="Yes",$B58="Tirupur"),2,0)+IF($J58&gt;=60,15,IF($J58&gt;=40,8,0))))</f>
        <v/>
      </c>
      <c r="L58" s="8">
        <f>IF($J58="","",IF($J58&lt;=35,"Low",IF($J58&lt;=65,"Medium","High")))</f>
        <v/>
      </c>
      <c r="M58" s="8">
        <f>IF($K58="","",IF($K58&lt;=35,"Low",IF($K58&lt;=65,"Medium","High")))</f>
        <v/>
      </c>
      <c r="N58" s="9">
        <f>IF($B58="","",IF(_xlfn.TEXTJOIN(", ",TRUE,IF($C58="Yes","New vendor",""),IF($B58="Tirupur","Tirupur cluster",""),IF($B58="Bengaluru","Bengaluru cluster",""),IF($D58="Below 0.85","Low vendor reliability",""),IF($E58="woven","Woven fabric",""),IF($F58&gt;350,"Large order (350+)",""),IF($G58="Tier-3","Tier-3 destination",""),IF($G58="Tier-2","Tier-2 destination",""),IF($H58="COD","COD payment",""),IF($I58="festive","Festive season",""),IF($I58="monsoon","Monsoon season",""))="","Baseline risk only",_xlfn.TEXTJOIN(", ",TRUE,IF($C58="Yes","New vendor",""),IF($B58="Tirupur","Tirupur cluster",""),IF($B58="Bengaluru","Bengaluru cluster",""),IF($D58="Below 0.85","Low vendor reliability",""),IF($E58="woven","Woven fabric",""),IF($F58&gt;350,"Large order (350+)",""),IF($G58="Tier-3","Tier-3 destination",""),IF($G58="Tier-2","Tier-2 destination",""),IF($H58="COD","COD payment",""),IF($I58="festive","Festive season",""),IF($I58="monsoon","Monsoon season",""))))</f>
        <v/>
      </c>
      <c r="O58" s="9">
        <f>IF($B58="","",IF(AND($L58="High",$M58="High"),"Escalate — high delay AND return risk: alternate vendor, add buffer, check sizing and payment",IF($L58="High","High delay risk — add a lead-time buffer or use a faster cluster",IF($M58="High","High return risk — tighten sizing guidance; consider a prepaid incentive",IF(OR($L58="Medium",$M58="Medium"),"Moderate risk — keep this order on the watch list","Low risk — no action needed")))))</f>
        <v/>
      </c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7">
        <f>IF($B59="","",MIN(100,10+IF($C59="Yes",22,0)+IF($B59="Tirupur",14,0)+IF($B59="Bengaluru",4,0)+IF($D59="Below 0.85",12,0)+IF($E59="woven",12,0)+IF($F59&gt;350,8,0)+IF($G59="Tier-3",10,0)+IF($G59="Tier-2",5,0)+IF($H59="COD",2,0)+IF($I59="festive",12,0)+IF($I59="monsoon",8,0)+IF(AND($I59="monsoon",$E59="woven"),10,0)+IF(AND($C59="Yes",$B59="Tirupur"),10,0)))</f>
        <v/>
      </c>
      <c r="K59" s="7">
        <f>IF($B59="","",MIN(100,15+IF($C59="Yes",10,0)+IF($B59="Tirupur",3,0)+IF($D59="Below 0.85",6,0)+IF($E59="woven",5,0)+IF($G59="Tier-3",14,0)+IF($G59="Tier-2",7,0)+IF($H59="COD",22,0)+IF($I59="festive",10,0)+IF($I59="monsoon",3,0)+IF(AND($I59="monsoon",$E59="woven"),3,0)+IF(AND($I59="festive",$H59="COD"),14,0)+IF(AND($C59="Yes",$B59="Tirupur"),2,0)+IF($J59&gt;=60,15,IF($J59&gt;=40,8,0))))</f>
        <v/>
      </c>
      <c r="L59" s="8">
        <f>IF($J59="","",IF($J59&lt;=35,"Low",IF($J59&lt;=65,"Medium","High")))</f>
        <v/>
      </c>
      <c r="M59" s="8">
        <f>IF($K59="","",IF($K59&lt;=35,"Low",IF($K59&lt;=65,"Medium","High")))</f>
        <v/>
      </c>
      <c r="N59" s="9">
        <f>IF($B59="","",IF(_xlfn.TEXTJOIN(", ",TRUE,IF($C59="Yes","New vendor",""),IF($B59="Tirupur","Tirupur cluster",""),IF($B59="Bengaluru","Bengaluru cluster",""),IF($D59="Below 0.85","Low vendor reliability",""),IF($E59="woven","Woven fabric",""),IF($F59&gt;350,"Large order (350+)",""),IF($G59="Tier-3","Tier-3 destination",""),IF($G59="Tier-2","Tier-2 destination",""),IF($H59="COD","COD payment",""),IF($I59="festive","Festive season",""),IF($I59="monsoon","Monsoon season",""))="","Baseline risk only",_xlfn.TEXTJOIN(", ",TRUE,IF($C59="Yes","New vendor",""),IF($B59="Tirupur","Tirupur cluster",""),IF($B59="Bengaluru","Bengaluru cluster",""),IF($D59="Below 0.85","Low vendor reliability",""),IF($E59="woven","Woven fabric",""),IF($F59&gt;350,"Large order (350+)",""),IF($G59="Tier-3","Tier-3 destination",""),IF($G59="Tier-2","Tier-2 destination",""),IF($H59="COD","COD payment",""),IF($I59="festive","Festive season",""),IF($I59="monsoon","Monsoon season",""))))</f>
        <v/>
      </c>
      <c r="O59" s="9">
        <f>IF($B59="","",IF(AND($L59="High",$M59="High"),"Escalate — high delay AND return risk: alternate vendor, add buffer, check sizing and payment",IF($L59="High","High delay risk — add a lead-time buffer or use a faster cluster",IF($M59="High","High return risk — tighten sizing guidance; consider a prepaid incentive",IF(OR($L59="Medium",$M59="Medium"),"Moderate risk — keep this order on the watch list","Low risk — no action needed")))))</f>
        <v/>
      </c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7">
        <f>IF($B60="","",MIN(100,10+IF($C60="Yes",22,0)+IF($B60="Tirupur",14,0)+IF($B60="Bengaluru",4,0)+IF($D60="Below 0.85",12,0)+IF($E60="woven",12,0)+IF($F60&gt;350,8,0)+IF($G60="Tier-3",10,0)+IF($G60="Tier-2",5,0)+IF($H60="COD",2,0)+IF($I60="festive",12,0)+IF($I60="monsoon",8,0)+IF(AND($I60="monsoon",$E60="woven"),10,0)+IF(AND($C60="Yes",$B60="Tirupur"),10,0)))</f>
        <v/>
      </c>
      <c r="K60" s="7">
        <f>IF($B60="","",MIN(100,15+IF($C60="Yes",10,0)+IF($B60="Tirupur",3,0)+IF($D60="Below 0.85",6,0)+IF($E60="woven",5,0)+IF($G60="Tier-3",14,0)+IF($G60="Tier-2",7,0)+IF($H60="COD",22,0)+IF($I60="festive",10,0)+IF($I60="monsoon",3,0)+IF(AND($I60="monsoon",$E60="woven"),3,0)+IF(AND($I60="festive",$H60="COD"),14,0)+IF(AND($C60="Yes",$B60="Tirupur"),2,0)+IF($J60&gt;=60,15,IF($J60&gt;=40,8,0))))</f>
        <v/>
      </c>
      <c r="L60" s="8">
        <f>IF($J60="","",IF($J60&lt;=35,"Low",IF($J60&lt;=65,"Medium","High")))</f>
        <v/>
      </c>
      <c r="M60" s="8">
        <f>IF($K60="","",IF($K60&lt;=35,"Low",IF($K60&lt;=65,"Medium","High")))</f>
        <v/>
      </c>
      <c r="N60" s="9">
        <f>IF($B60="","",IF(_xlfn.TEXTJOIN(", ",TRUE,IF($C60="Yes","New vendor",""),IF($B60="Tirupur","Tirupur cluster",""),IF($B60="Bengaluru","Bengaluru cluster",""),IF($D60="Below 0.85","Low vendor reliability",""),IF($E60="woven","Woven fabric",""),IF($F60&gt;350,"Large order (350+)",""),IF($G60="Tier-3","Tier-3 destination",""),IF($G60="Tier-2","Tier-2 destination",""),IF($H60="COD","COD payment",""),IF($I60="festive","Festive season",""),IF($I60="monsoon","Monsoon season",""))="","Baseline risk only",_xlfn.TEXTJOIN(", ",TRUE,IF($C60="Yes","New vendor",""),IF($B60="Tirupur","Tirupur cluster",""),IF($B60="Bengaluru","Bengaluru cluster",""),IF($D60="Below 0.85","Low vendor reliability",""),IF($E60="woven","Woven fabric",""),IF($F60&gt;350,"Large order (350+)",""),IF($G60="Tier-3","Tier-3 destination",""),IF($G60="Tier-2","Tier-2 destination",""),IF($H60="COD","COD payment",""),IF($I60="festive","Festive season",""),IF($I60="monsoon","Monsoon season",""))))</f>
        <v/>
      </c>
      <c r="O60" s="9">
        <f>IF($B60="","",IF(AND($L60="High",$M60="High"),"Escalate — high delay AND return risk: alternate vendor, add buffer, check sizing and payment",IF($L60="High","High delay risk — add a lead-time buffer or use a faster cluster",IF($M60="High","High return risk — tighten sizing guidance; consider a prepaid incentive",IF(OR($L60="Medium",$M60="Medium"),"Moderate risk — keep this order on the watch list","Low risk — no action needed")))))</f>
        <v/>
      </c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7">
        <f>IF($B61="","",MIN(100,10+IF($C61="Yes",22,0)+IF($B61="Tirupur",14,0)+IF($B61="Bengaluru",4,0)+IF($D61="Below 0.85",12,0)+IF($E61="woven",12,0)+IF($F61&gt;350,8,0)+IF($G61="Tier-3",10,0)+IF($G61="Tier-2",5,0)+IF($H61="COD",2,0)+IF($I61="festive",12,0)+IF($I61="monsoon",8,0)+IF(AND($I61="monsoon",$E61="woven"),10,0)+IF(AND($C61="Yes",$B61="Tirupur"),10,0)))</f>
        <v/>
      </c>
      <c r="K61" s="7">
        <f>IF($B61="","",MIN(100,15+IF($C61="Yes",10,0)+IF($B61="Tirupur",3,0)+IF($D61="Below 0.85",6,0)+IF($E61="woven",5,0)+IF($G61="Tier-3",14,0)+IF($G61="Tier-2",7,0)+IF($H61="COD",22,0)+IF($I61="festive",10,0)+IF($I61="monsoon",3,0)+IF(AND($I61="monsoon",$E61="woven"),3,0)+IF(AND($I61="festive",$H61="COD"),14,0)+IF(AND($C61="Yes",$B61="Tirupur"),2,0)+IF($J61&gt;=60,15,IF($J61&gt;=40,8,0))))</f>
        <v/>
      </c>
      <c r="L61" s="8">
        <f>IF($J61="","",IF($J61&lt;=35,"Low",IF($J61&lt;=65,"Medium","High")))</f>
        <v/>
      </c>
      <c r="M61" s="8">
        <f>IF($K61="","",IF($K61&lt;=35,"Low",IF($K61&lt;=65,"Medium","High")))</f>
        <v/>
      </c>
      <c r="N61" s="9">
        <f>IF($B61="","",IF(_xlfn.TEXTJOIN(", ",TRUE,IF($C61="Yes","New vendor",""),IF($B61="Tirupur","Tirupur cluster",""),IF($B61="Bengaluru","Bengaluru cluster",""),IF($D61="Below 0.85","Low vendor reliability",""),IF($E61="woven","Woven fabric",""),IF($F61&gt;350,"Large order (350+)",""),IF($G61="Tier-3","Tier-3 destination",""),IF($G61="Tier-2","Tier-2 destination",""),IF($H61="COD","COD payment",""),IF($I61="festive","Festive season",""),IF($I61="monsoon","Monsoon season",""))="","Baseline risk only",_xlfn.TEXTJOIN(", ",TRUE,IF($C61="Yes","New vendor",""),IF($B61="Tirupur","Tirupur cluster",""),IF($B61="Bengaluru","Bengaluru cluster",""),IF($D61="Below 0.85","Low vendor reliability",""),IF($E61="woven","Woven fabric",""),IF($F61&gt;350,"Large order (350+)",""),IF($G61="Tier-3","Tier-3 destination",""),IF($G61="Tier-2","Tier-2 destination",""),IF($H61="COD","COD payment",""),IF($I61="festive","Festive season",""),IF($I61="monsoon","Monsoon season",""))))</f>
        <v/>
      </c>
      <c r="O61" s="9">
        <f>IF($B61="","",IF(AND($L61="High",$M61="High"),"Escalate — high delay AND return risk: alternate vendor, add buffer, check sizing and payment",IF($L61="High","High delay risk — add a lead-time buffer or use a faster cluster",IF($M61="High","High return risk — tighten sizing guidance; consider a prepaid incentive",IF(OR($L61="Medium",$M61="Medium"),"Moderate risk — keep this order on the watch list","Low risk — no action needed")))))</f>
        <v/>
      </c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7">
        <f>IF($B62="","",MIN(100,10+IF($C62="Yes",22,0)+IF($B62="Tirupur",14,0)+IF($B62="Bengaluru",4,0)+IF($D62="Below 0.85",12,0)+IF($E62="woven",12,0)+IF($F62&gt;350,8,0)+IF($G62="Tier-3",10,0)+IF($G62="Tier-2",5,0)+IF($H62="COD",2,0)+IF($I62="festive",12,0)+IF($I62="monsoon",8,0)+IF(AND($I62="monsoon",$E62="woven"),10,0)+IF(AND($C62="Yes",$B62="Tirupur"),10,0)))</f>
        <v/>
      </c>
      <c r="K62" s="7">
        <f>IF($B62="","",MIN(100,15+IF($C62="Yes",10,0)+IF($B62="Tirupur",3,0)+IF($D62="Below 0.85",6,0)+IF($E62="woven",5,0)+IF($G62="Tier-3",14,0)+IF($G62="Tier-2",7,0)+IF($H62="COD",22,0)+IF($I62="festive",10,0)+IF($I62="monsoon",3,0)+IF(AND($I62="monsoon",$E62="woven"),3,0)+IF(AND($I62="festive",$H62="COD"),14,0)+IF(AND($C62="Yes",$B62="Tirupur"),2,0)+IF($J62&gt;=60,15,IF($J62&gt;=40,8,0))))</f>
        <v/>
      </c>
      <c r="L62" s="8">
        <f>IF($J62="","",IF($J62&lt;=35,"Low",IF($J62&lt;=65,"Medium","High")))</f>
        <v/>
      </c>
      <c r="M62" s="8">
        <f>IF($K62="","",IF($K62&lt;=35,"Low",IF($K62&lt;=65,"Medium","High")))</f>
        <v/>
      </c>
      <c r="N62" s="9">
        <f>IF($B62="","",IF(_xlfn.TEXTJOIN(", ",TRUE,IF($C62="Yes","New vendor",""),IF($B62="Tirupur","Tirupur cluster",""),IF($B62="Bengaluru","Bengaluru cluster",""),IF($D62="Below 0.85","Low vendor reliability",""),IF($E62="woven","Woven fabric",""),IF($F62&gt;350,"Large order (350+)",""),IF($G62="Tier-3","Tier-3 destination",""),IF($G62="Tier-2","Tier-2 destination",""),IF($H62="COD","COD payment",""),IF($I62="festive","Festive season",""),IF($I62="monsoon","Monsoon season",""))="","Baseline risk only",_xlfn.TEXTJOIN(", ",TRUE,IF($C62="Yes","New vendor",""),IF($B62="Tirupur","Tirupur cluster",""),IF($B62="Bengaluru","Bengaluru cluster",""),IF($D62="Below 0.85","Low vendor reliability",""),IF($E62="woven","Woven fabric",""),IF($F62&gt;350,"Large order (350+)",""),IF($G62="Tier-3","Tier-3 destination",""),IF($G62="Tier-2","Tier-2 destination",""),IF($H62="COD","COD payment",""),IF($I62="festive","Festive season",""),IF($I62="monsoon","Monsoon season",""))))</f>
        <v/>
      </c>
      <c r="O62" s="9">
        <f>IF($B62="","",IF(AND($L62="High",$M62="High"),"Escalate — high delay AND return risk: alternate vendor, add buffer, check sizing and payment",IF($L62="High","High delay risk — add a lead-time buffer or use a faster cluster",IF($M62="High","High return risk — tighten sizing guidance; consider a prepaid incentive",IF(OR($L62="Medium",$M62="Medium"),"Moderate risk — keep this order on the watch list","Low risk — no action needed")))))</f>
        <v/>
      </c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7">
        <f>IF($B63="","",MIN(100,10+IF($C63="Yes",22,0)+IF($B63="Tirupur",14,0)+IF($B63="Bengaluru",4,0)+IF($D63="Below 0.85",12,0)+IF($E63="woven",12,0)+IF($F63&gt;350,8,0)+IF($G63="Tier-3",10,0)+IF($G63="Tier-2",5,0)+IF($H63="COD",2,0)+IF($I63="festive",12,0)+IF($I63="monsoon",8,0)+IF(AND($I63="monsoon",$E63="woven"),10,0)+IF(AND($C63="Yes",$B63="Tirupur"),10,0)))</f>
        <v/>
      </c>
      <c r="K63" s="7">
        <f>IF($B63="","",MIN(100,15+IF($C63="Yes",10,0)+IF($B63="Tirupur",3,0)+IF($D63="Below 0.85",6,0)+IF($E63="woven",5,0)+IF($G63="Tier-3",14,0)+IF($G63="Tier-2",7,0)+IF($H63="COD",22,0)+IF($I63="festive",10,0)+IF($I63="monsoon",3,0)+IF(AND($I63="monsoon",$E63="woven"),3,0)+IF(AND($I63="festive",$H63="COD"),14,0)+IF(AND($C63="Yes",$B63="Tirupur"),2,0)+IF($J63&gt;=60,15,IF($J63&gt;=40,8,0))))</f>
        <v/>
      </c>
      <c r="L63" s="8">
        <f>IF($J63="","",IF($J63&lt;=35,"Low",IF($J63&lt;=65,"Medium","High")))</f>
        <v/>
      </c>
      <c r="M63" s="8">
        <f>IF($K63="","",IF($K63&lt;=35,"Low",IF($K63&lt;=65,"Medium","High")))</f>
        <v/>
      </c>
      <c r="N63" s="9">
        <f>IF($B63="","",IF(_xlfn.TEXTJOIN(", ",TRUE,IF($C63="Yes","New vendor",""),IF($B63="Tirupur","Tirupur cluster",""),IF($B63="Bengaluru","Bengaluru cluster",""),IF($D63="Below 0.85","Low vendor reliability",""),IF($E63="woven","Woven fabric",""),IF($F63&gt;350,"Large order (350+)",""),IF($G63="Tier-3","Tier-3 destination",""),IF($G63="Tier-2","Tier-2 destination",""),IF($H63="COD","COD payment",""),IF($I63="festive","Festive season",""),IF($I63="monsoon","Monsoon season",""))="","Baseline risk only",_xlfn.TEXTJOIN(", ",TRUE,IF($C63="Yes","New vendor",""),IF($B63="Tirupur","Tirupur cluster",""),IF($B63="Bengaluru","Bengaluru cluster",""),IF($D63="Below 0.85","Low vendor reliability",""),IF($E63="woven","Woven fabric",""),IF($F63&gt;350,"Large order (350+)",""),IF($G63="Tier-3","Tier-3 destination",""),IF($G63="Tier-2","Tier-2 destination",""),IF($H63="COD","COD payment",""),IF($I63="festive","Festive season",""),IF($I63="monsoon","Monsoon season",""))))</f>
        <v/>
      </c>
      <c r="O63" s="9">
        <f>IF($B63="","",IF(AND($L63="High",$M63="High"),"Escalate — high delay AND return risk: alternate vendor, add buffer, check sizing and payment",IF($L63="High","High delay risk — add a lead-time buffer or use a faster cluster",IF($M63="High","High return risk — tighten sizing guidance; consider a prepaid incentive",IF(OR($L63="Medium",$M63="Medium"),"Moderate risk — keep this order on the watch list","Low risk — no action needed")))))</f>
        <v/>
      </c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7">
        <f>IF($B64="","",MIN(100,10+IF($C64="Yes",22,0)+IF($B64="Tirupur",14,0)+IF($B64="Bengaluru",4,0)+IF($D64="Below 0.85",12,0)+IF($E64="woven",12,0)+IF($F64&gt;350,8,0)+IF($G64="Tier-3",10,0)+IF($G64="Tier-2",5,0)+IF($H64="COD",2,0)+IF($I64="festive",12,0)+IF($I64="monsoon",8,0)+IF(AND($I64="monsoon",$E64="woven"),10,0)+IF(AND($C64="Yes",$B64="Tirupur"),10,0)))</f>
        <v/>
      </c>
      <c r="K64" s="7">
        <f>IF($B64="","",MIN(100,15+IF($C64="Yes",10,0)+IF($B64="Tirupur",3,0)+IF($D64="Below 0.85",6,0)+IF($E64="woven",5,0)+IF($G64="Tier-3",14,0)+IF($G64="Tier-2",7,0)+IF($H64="COD",22,0)+IF($I64="festive",10,0)+IF($I64="monsoon",3,0)+IF(AND($I64="monsoon",$E64="woven"),3,0)+IF(AND($I64="festive",$H64="COD"),14,0)+IF(AND($C64="Yes",$B64="Tirupur"),2,0)+IF($J64&gt;=60,15,IF($J64&gt;=40,8,0))))</f>
        <v/>
      </c>
      <c r="L64" s="8">
        <f>IF($J64="","",IF($J64&lt;=35,"Low",IF($J64&lt;=65,"Medium","High")))</f>
        <v/>
      </c>
      <c r="M64" s="8">
        <f>IF($K64="","",IF($K64&lt;=35,"Low",IF($K64&lt;=65,"Medium","High")))</f>
        <v/>
      </c>
      <c r="N64" s="9">
        <f>IF($B64="","",IF(_xlfn.TEXTJOIN(", ",TRUE,IF($C64="Yes","New vendor",""),IF($B64="Tirupur","Tirupur cluster",""),IF($B64="Bengaluru","Bengaluru cluster",""),IF($D64="Below 0.85","Low vendor reliability",""),IF($E64="woven","Woven fabric",""),IF($F64&gt;350,"Large order (350+)",""),IF($G64="Tier-3","Tier-3 destination",""),IF($G64="Tier-2","Tier-2 destination",""),IF($H64="COD","COD payment",""),IF($I64="festive","Festive season",""),IF($I64="monsoon","Monsoon season",""))="","Baseline risk only",_xlfn.TEXTJOIN(", ",TRUE,IF($C64="Yes","New vendor",""),IF($B64="Tirupur","Tirupur cluster",""),IF($B64="Bengaluru","Bengaluru cluster",""),IF($D64="Below 0.85","Low vendor reliability",""),IF($E64="woven","Woven fabric",""),IF($F64&gt;350,"Large order (350+)",""),IF($G64="Tier-3","Tier-3 destination",""),IF($G64="Tier-2","Tier-2 destination",""),IF($H64="COD","COD payment",""),IF($I64="festive","Festive season",""),IF($I64="monsoon","Monsoon season",""))))</f>
        <v/>
      </c>
      <c r="O64" s="9">
        <f>IF($B64="","",IF(AND($L64="High",$M64="High"),"Escalate — high delay AND return risk: alternate vendor, add buffer, check sizing and payment",IF($L64="High","High delay risk — add a lead-time buffer or use a faster cluster",IF($M64="High","High return risk — tighten sizing guidance; consider a prepaid incentive",IF(OR($L64="Medium",$M64="Medium"),"Moderate risk — keep this order on the watch list","Low risk — no action needed")))))</f>
        <v/>
      </c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7">
        <f>IF($B65="","",MIN(100,10+IF($C65="Yes",22,0)+IF($B65="Tirupur",14,0)+IF($B65="Bengaluru",4,0)+IF($D65="Below 0.85",12,0)+IF($E65="woven",12,0)+IF($F65&gt;350,8,0)+IF($G65="Tier-3",10,0)+IF($G65="Tier-2",5,0)+IF($H65="COD",2,0)+IF($I65="festive",12,0)+IF($I65="monsoon",8,0)+IF(AND($I65="monsoon",$E65="woven"),10,0)+IF(AND($C65="Yes",$B65="Tirupur"),10,0)))</f>
        <v/>
      </c>
      <c r="K65" s="7">
        <f>IF($B65="","",MIN(100,15+IF($C65="Yes",10,0)+IF($B65="Tirupur",3,0)+IF($D65="Below 0.85",6,0)+IF($E65="woven",5,0)+IF($G65="Tier-3",14,0)+IF($G65="Tier-2",7,0)+IF($H65="COD",22,0)+IF($I65="festive",10,0)+IF($I65="monsoon",3,0)+IF(AND($I65="monsoon",$E65="woven"),3,0)+IF(AND($I65="festive",$H65="COD"),14,0)+IF(AND($C65="Yes",$B65="Tirupur"),2,0)+IF($J65&gt;=60,15,IF($J65&gt;=40,8,0))))</f>
        <v/>
      </c>
      <c r="L65" s="8">
        <f>IF($J65="","",IF($J65&lt;=35,"Low",IF($J65&lt;=65,"Medium","High")))</f>
        <v/>
      </c>
      <c r="M65" s="8">
        <f>IF($K65="","",IF($K65&lt;=35,"Low",IF($K65&lt;=65,"Medium","High")))</f>
        <v/>
      </c>
      <c r="N65" s="9">
        <f>IF($B65="","",IF(_xlfn.TEXTJOIN(", ",TRUE,IF($C65="Yes","New vendor",""),IF($B65="Tirupur","Tirupur cluster",""),IF($B65="Bengaluru","Bengaluru cluster",""),IF($D65="Below 0.85","Low vendor reliability",""),IF($E65="woven","Woven fabric",""),IF($F65&gt;350,"Large order (350+)",""),IF($G65="Tier-3","Tier-3 destination",""),IF($G65="Tier-2","Tier-2 destination",""),IF($H65="COD","COD payment",""),IF($I65="festive","Festive season",""),IF($I65="monsoon","Monsoon season",""))="","Baseline risk only",_xlfn.TEXTJOIN(", ",TRUE,IF($C65="Yes","New vendor",""),IF($B65="Tirupur","Tirupur cluster",""),IF($B65="Bengaluru","Bengaluru cluster",""),IF($D65="Below 0.85","Low vendor reliability",""),IF($E65="woven","Woven fabric",""),IF($F65&gt;350,"Large order (350+)",""),IF($G65="Tier-3","Tier-3 destination",""),IF($G65="Tier-2","Tier-2 destination",""),IF($H65="COD","COD payment",""),IF($I65="festive","Festive season",""),IF($I65="monsoon","Monsoon season",""))))</f>
        <v/>
      </c>
      <c r="O65" s="9">
        <f>IF($B65="","",IF(AND($L65="High",$M65="High"),"Escalate — high delay AND return risk: alternate vendor, add buffer, check sizing and payment",IF($L65="High","High delay risk — add a lead-time buffer or use a faster cluster",IF($M65="High","High return risk — tighten sizing guidance; consider a prepaid incentive",IF(OR($L65="Medium",$M65="Medium"),"Moderate risk — keep this order on the watch list","Low risk — no action needed")))))</f>
        <v/>
      </c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7">
        <f>IF($B66="","",MIN(100,10+IF($C66="Yes",22,0)+IF($B66="Tirupur",14,0)+IF($B66="Bengaluru",4,0)+IF($D66="Below 0.85",12,0)+IF($E66="woven",12,0)+IF($F66&gt;350,8,0)+IF($G66="Tier-3",10,0)+IF($G66="Tier-2",5,0)+IF($H66="COD",2,0)+IF($I66="festive",12,0)+IF($I66="monsoon",8,0)+IF(AND($I66="monsoon",$E66="woven"),10,0)+IF(AND($C66="Yes",$B66="Tirupur"),10,0)))</f>
        <v/>
      </c>
      <c r="K66" s="7">
        <f>IF($B66="","",MIN(100,15+IF($C66="Yes",10,0)+IF($B66="Tirupur",3,0)+IF($D66="Below 0.85",6,0)+IF($E66="woven",5,0)+IF($G66="Tier-3",14,0)+IF($G66="Tier-2",7,0)+IF($H66="COD",22,0)+IF($I66="festive",10,0)+IF($I66="monsoon",3,0)+IF(AND($I66="monsoon",$E66="woven"),3,0)+IF(AND($I66="festive",$H66="COD"),14,0)+IF(AND($C66="Yes",$B66="Tirupur"),2,0)+IF($J66&gt;=60,15,IF($J66&gt;=40,8,0))))</f>
        <v/>
      </c>
      <c r="L66" s="8">
        <f>IF($J66="","",IF($J66&lt;=35,"Low",IF($J66&lt;=65,"Medium","High")))</f>
        <v/>
      </c>
      <c r="M66" s="8">
        <f>IF($K66="","",IF($K66&lt;=35,"Low",IF($K66&lt;=65,"Medium","High")))</f>
        <v/>
      </c>
      <c r="N66" s="9">
        <f>IF($B66="","",IF(_xlfn.TEXTJOIN(", ",TRUE,IF($C66="Yes","New vendor",""),IF($B66="Tirupur","Tirupur cluster",""),IF($B66="Bengaluru","Bengaluru cluster",""),IF($D66="Below 0.85","Low vendor reliability",""),IF($E66="woven","Woven fabric",""),IF($F66&gt;350,"Large order (350+)",""),IF($G66="Tier-3","Tier-3 destination",""),IF($G66="Tier-2","Tier-2 destination",""),IF($H66="COD","COD payment",""),IF($I66="festive","Festive season",""),IF($I66="monsoon","Monsoon season",""))="","Baseline risk only",_xlfn.TEXTJOIN(", ",TRUE,IF($C66="Yes","New vendor",""),IF($B66="Tirupur","Tirupur cluster",""),IF($B66="Bengaluru","Bengaluru cluster",""),IF($D66="Below 0.85","Low vendor reliability",""),IF($E66="woven","Woven fabric",""),IF($F66&gt;350,"Large order (350+)",""),IF($G66="Tier-3","Tier-3 destination",""),IF($G66="Tier-2","Tier-2 destination",""),IF($H66="COD","COD payment",""),IF($I66="festive","Festive season",""),IF($I66="monsoon","Monsoon season",""))))</f>
        <v/>
      </c>
      <c r="O66" s="9">
        <f>IF($B66="","",IF(AND($L66="High",$M66="High"),"Escalate — high delay AND return risk: alternate vendor, add buffer, check sizing and payment",IF($L66="High","High delay risk — add a lead-time buffer or use a faster cluster",IF($M66="High","High return risk — tighten sizing guidance; consider a prepaid incentive",IF(OR($L66="Medium",$M66="Medium"),"Moderate risk — keep this order on the watch list","Low risk — no action needed")))))</f>
        <v/>
      </c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7">
        <f>IF($B67="","",MIN(100,10+IF($C67="Yes",22,0)+IF($B67="Tirupur",14,0)+IF($B67="Bengaluru",4,0)+IF($D67="Below 0.85",12,0)+IF($E67="woven",12,0)+IF($F67&gt;350,8,0)+IF($G67="Tier-3",10,0)+IF($G67="Tier-2",5,0)+IF($H67="COD",2,0)+IF($I67="festive",12,0)+IF($I67="monsoon",8,0)+IF(AND($I67="monsoon",$E67="woven"),10,0)+IF(AND($C67="Yes",$B67="Tirupur"),10,0)))</f>
        <v/>
      </c>
      <c r="K67" s="7">
        <f>IF($B67="","",MIN(100,15+IF($C67="Yes",10,0)+IF($B67="Tirupur",3,0)+IF($D67="Below 0.85",6,0)+IF($E67="woven",5,0)+IF($G67="Tier-3",14,0)+IF($G67="Tier-2",7,0)+IF($H67="COD",22,0)+IF($I67="festive",10,0)+IF($I67="monsoon",3,0)+IF(AND($I67="monsoon",$E67="woven"),3,0)+IF(AND($I67="festive",$H67="COD"),14,0)+IF(AND($C67="Yes",$B67="Tirupur"),2,0)+IF($J67&gt;=60,15,IF($J67&gt;=40,8,0))))</f>
        <v/>
      </c>
      <c r="L67" s="8">
        <f>IF($J67="","",IF($J67&lt;=35,"Low",IF($J67&lt;=65,"Medium","High")))</f>
        <v/>
      </c>
      <c r="M67" s="8">
        <f>IF($K67="","",IF($K67&lt;=35,"Low",IF($K67&lt;=65,"Medium","High")))</f>
        <v/>
      </c>
      <c r="N67" s="9">
        <f>IF($B67="","",IF(_xlfn.TEXTJOIN(", ",TRUE,IF($C67="Yes","New vendor",""),IF($B67="Tirupur","Tirupur cluster",""),IF($B67="Bengaluru","Bengaluru cluster",""),IF($D67="Below 0.85","Low vendor reliability",""),IF($E67="woven","Woven fabric",""),IF($F67&gt;350,"Large order (350+)",""),IF($G67="Tier-3","Tier-3 destination",""),IF($G67="Tier-2","Tier-2 destination",""),IF($H67="COD","COD payment",""),IF($I67="festive","Festive season",""),IF($I67="monsoon","Monsoon season",""))="","Baseline risk only",_xlfn.TEXTJOIN(", ",TRUE,IF($C67="Yes","New vendor",""),IF($B67="Tirupur","Tirupur cluster",""),IF($B67="Bengaluru","Bengaluru cluster",""),IF($D67="Below 0.85","Low vendor reliability",""),IF($E67="woven","Woven fabric",""),IF($F67&gt;350,"Large order (350+)",""),IF($G67="Tier-3","Tier-3 destination",""),IF($G67="Tier-2","Tier-2 destination",""),IF($H67="COD","COD payment",""),IF($I67="festive","Festive season",""),IF($I67="monsoon","Monsoon season",""))))</f>
        <v/>
      </c>
      <c r="O67" s="9">
        <f>IF($B67="","",IF(AND($L67="High",$M67="High"),"Escalate — high delay AND return risk: alternate vendor, add buffer, check sizing and payment",IF($L67="High","High delay risk — add a lead-time buffer or use a faster cluster",IF($M67="High","High return risk — tighten sizing guidance; consider a prepaid incentive",IF(OR($L67="Medium",$M67="Medium"),"Moderate risk — keep this order on the watch list","Low risk — no action needed")))))</f>
        <v/>
      </c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7">
        <f>IF($B68="","",MIN(100,10+IF($C68="Yes",22,0)+IF($B68="Tirupur",14,0)+IF($B68="Bengaluru",4,0)+IF($D68="Below 0.85",12,0)+IF($E68="woven",12,0)+IF($F68&gt;350,8,0)+IF($G68="Tier-3",10,0)+IF($G68="Tier-2",5,0)+IF($H68="COD",2,0)+IF($I68="festive",12,0)+IF($I68="monsoon",8,0)+IF(AND($I68="monsoon",$E68="woven"),10,0)+IF(AND($C68="Yes",$B68="Tirupur"),10,0)))</f>
        <v/>
      </c>
      <c r="K68" s="7">
        <f>IF($B68="","",MIN(100,15+IF($C68="Yes",10,0)+IF($B68="Tirupur",3,0)+IF($D68="Below 0.85",6,0)+IF($E68="woven",5,0)+IF($G68="Tier-3",14,0)+IF($G68="Tier-2",7,0)+IF($H68="COD",22,0)+IF($I68="festive",10,0)+IF($I68="monsoon",3,0)+IF(AND($I68="monsoon",$E68="woven"),3,0)+IF(AND($I68="festive",$H68="COD"),14,0)+IF(AND($C68="Yes",$B68="Tirupur"),2,0)+IF($J68&gt;=60,15,IF($J68&gt;=40,8,0))))</f>
        <v/>
      </c>
      <c r="L68" s="8">
        <f>IF($J68="","",IF($J68&lt;=35,"Low",IF($J68&lt;=65,"Medium","High")))</f>
        <v/>
      </c>
      <c r="M68" s="8">
        <f>IF($K68="","",IF($K68&lt;=35,"Low",IF($K68&lt;=65,"Medium","High")))</f>
        <v/>
      </c>
      <c r="N68" s="9">
        <f>IF($B68="","",IF(_xlfn.TEXTJOIN(", ",TRUE,IF($C68="Yes","New vendor",""),IF($B68="Tirupur","Tirupur cluster",""),IF($B68="Bengaluru","Bengaluru cluster",""),IF($D68="Below 0.85","Low vendor reliability",""),IF($E68="woven","Woven fabric",""),IF($F68&gt;350,"Large order (350+)",""),IF($G68="Tier-3","Tier-3 destination",""),IF($G68="Tier-2","Tier-2 destination",""),IF($H68="COD","COD payment",""),IF($I68="festive","Festive season",""),IF($I68="monsoon","Monsoon season",""))="","Baseline risk only",_xlfn.TEXTJOIN(", ",TRUE,IF($C68="Yes","New vendor",""),IF($B68="Tirupur","Tirupur cluster",""),IF($B68="Bengaluru","Bengaluru cluster",""),IF($D68="Below 0.85","Low vendor reliability",""),IF($E68="woven","Woven fabric",""),IF($F68&gt;350,"Large order (350+)",""),IF($G68="Tier-3","Tier-3 destination",""),IF($G68="Tier-2","Tier-2 destination",""),IF($H68="COD","COD payment",""),IF($I68="festive","Festive season",""),IF($I68="monsoon","Monsoon season",""))))</f>
        <v/>
      </c>
      <c r="O68" s="9">
        <f>IF($B68="","",IF(AND($L68="High",$M68="High"),"Escalate — high delay AND return risk: alternate vendor, add buffer, check sizing and payment",IF($L68="High","High delay risk — add a lead-time buffer or use a faster cluster",IF($M68="High","High return risk — tighten sizing guidance; consider a prepaid incentive",IF(OR($L68="Medium",$M68="Medium"),"Moderate risk — keep this order on the watch list","Low risk — no action needed")))))</f>
        <v/>
      </c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7">
        <f>IF($B69="","",MIN(100,10+IF($C69="Yes",22,0)+IF($B69="Tirupur",14,0)+IF($B69="Bengaluru",4,0)+IF($D69="Below 0.85",12,0)+IF($E69="woven",12,0)+IF($F69&gt;350,8,0)+IF($G69="Tier-3",10,0)+IF($G69="Tier-2",5,0)+IF($H69="COD",2,0)+IF($I69="festive",12,0)+IF($I69="monsoon",8,0)+IF(AND($I69="monsoon",$E69="woven"),10,0)+IF(AND($C69="Yes",$B69="Tirupur"),10,0)))</f>
        <v/>
      </c>
      <c r="K69" s="7">
        <f>IF($B69="","",MIN(100,15+IF($C69="Yes",10,0)+IF($B69="Tirupur",3,0)+IF($D69="Below 0.85",6,0)+IF($E69="woven",5,0)+IF($G69="Tier-3",14,0)+IF($G69="Tier-2",7,0)+IF($H69="COD",22,0)+IF($I69="festive",10,0)+IF($I69="monsoon",3,0)+IF(AND($I69="monsoon",$E69="woven"),3,0)+IF(AND($I69="festive",$H69="COD"),14,0)+IF(AND($C69="Yes",$B69="Tirupur"),2,0)+IF($J69&gt;=60,15,IF($J69&gt;=40,8,0))))</f>
        <v/>
      </c>
      <c r="L69" s="8">
        <f>IF($J69="","",IF($J69&lt;=35,"Low",IF($J69&lt;=65,"Medium","High")))</f>
        <v/>
      </c>
      <c r="M69" s="8">
        <f>IF($K69="","",IF($K69&lt;=35,"Low",IF($K69&lt;=65,"Medium","High")))</f>
        <v/>
      </c>
      <c r="N69" s="9">
        <f>IF($B69="","",IF(_xlfn.TEXTJOIN(", ",TRUE,IF($C69="Yes","New vendor",""),IF($B69="Tirupur","Tirupur cluster",""),IF($B69="Bengaluru","Bengaluru cluster",""),IF($D69="Below 0.85","Low vendor reliability",""),IF($E69="woven","Woven fabric",""),IF($F69&gt;350,"Large order (350+)",""),IF($G69="Tier-3","Tier-3 destination",""),IF($G69="Tier-2","Tier-2 destination",""),IF($H69="COD","COD payment",""),IF($I69="festive","Festive season",""),IF($I69="monsoon","Monsoon season",""))="","Baseline risk only",_xlfn.TEXTJOIN(", ",TRUE,IF($C69="Yes","New vendor",""),IF($B69="Tirupur","Tirupur cluster",""),IF($B69="Bengaluru","Bengaluru cluster",""),IF($D69="Below 0.85","Low vendor reliability",""),IF($E69="woven","Woven fabric",""),IF($F69&gt;350,"Large order (350+)",""),IF($G69="Tier-3","Tier-3 destination",""),IF($G69="Tier-2","Tier-2 destination",""),IF($H69="COD","COD payment",""),IF($I69="festive","Festive season",""),IF($I69="monsoon","Monsoon season",""))))</f>
        <v/>
      </c>
      <c r="O69" s="9">
        <f>IF($B69="","",IF(AND($L69="High",$M69="High"),"Escalate — high delay AND return risk: alternate vendor, add buffer, check sizing and payment",IF($L69="High","High delay risk — add a lead-time buffer or use a faster cluster",IF($M69="High","High return risk — tighten sizing guidance; consider a prepaid incentive",IF(OR($L69="Medium",$M69="Medium"),"Moderate risk — keep this order on the watch list","Low risk — no action needed")))))</f>
        <v/>
      </c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7">
        <f>IF($B70="","",MIN(100,10+IF($C70="Yes",22,0)+IF($B70="Tirupur",14,0)+IF($B70="Bengaluru",4,0)+IF($D70="Below 0.85",12,0)+IF($E70="woven",12,0)+IF($F70&gt;350,8,0)+IF($G70="Tier-3",10,0)+IF($G70="Tier-2",5,0)+IF($H70="COD",2,0)+IF($I70="festive",12,0)+IF($I70="monsoon",8,0)+IF(AND($I70="monsoon",$E70="woven"),10,0)+IF(AND($C70="Yes",$B70="Tirupur"),10,0)))</f>
        <v/>
      </c>
      <c r="K70" s="7">
        <f>IF($B70="","",MIN(100,15+IF($C70="Yes",10,0)+IF($B70="Tirupur",3,0)+IF($D70="Below 0.85",6,0)+IF($E70="woven",5,0)+IF($G70="Tier-3",14,0)+IF($G70="Tier-2",7,0)+IF($H70="COD",22,0)+IF($I70="festive",10,0)+IF($I70="monsoon",3,0)+IF(AND($I70="monsoon",$E70="woven"),3,0)+IF(AND($I70="festive",$H70="COD"),14,0)+IF(AND($C70="Yes",$B70="Tirupur"),2,0)+IF($J70&gt;=60,15,IF($J70&gt;=40,8,0))))</f>
        <v/>
      </c>
      <c r="L70" s="8">
        <f>IF($J70="","",IF($J70&lt;=35,"Low",IF($J70&lt;=65,"Medium","High")))</f>
        <v/>
      </c>
      <c r="M70" s="8">
        <f>IF($K70="","",IF($K70&lt;=35,"Low",IF($K70&lt;=65,"Medium","High")))</f>
        <v/>
      </c>
      <c r="N70" s="9">
        <f>IF($B70="","",IF(_xlfn.TEXTJOIN(", ",TRUE,IF($C70="Yes","New vendor",""),IF($B70="Tirupur","Tirupur cluster",""),IF($B70="Bengaluru","Bengaluru cluster",""),IF($D70="Below 0.85","Low vendor reliability",""),IF($E70="woven","Woven fabric",""),IF($F70&gt;350,"Large order (350+)",""),IF($G70="Tier-3","Tier-3 destination",""),IF($G70="Tier-2","Tier-2 destination",""),IF($H70="COD","COD payment",""),IF($I70="festive","Festive season",""),IF($I70="monsoon","Monsoon season",""))="","Baseline risk only",_xlfn.TEXTJOIN(", ",TRUE,IF($C70="Yes","New vendor",""),IF($B70="Tirupur","Tirupur cluster",""),IF($B70="Bengaluru","Bengaluru cluster",""),IF($D70="Below 0.85","Low vendor reliability",""),IF($E70="woven","Woven fabric",""),IF($F70&gt;350,"Large order (350+)",""),IF($G70="Tier-3","Tier-3 destination",""),IF($G70="Tier-2","Tier-2 destination",""),IF($H70="COD","COD payment",""),IF($I70="festive","Festive season",""),IF($I70="monsoon","Monsoon season",""))))</f>
        <v/>
      </c>
      <c r="O70" s="9">
        <f>IF($B70="","",IF(AND($L70="High",$M70="High"),"Escalate — high delay AND return risk: alternate vendor, add buffer, check sizing and payment",IF($L70="High","High delay risk — add a lead-time buffer or use a faster cluster",IF($M70="High","High return risk — tighten sizing guidance; consider a prepaid incentive",IF(OR($L70="Medium",$M70="Medium"),"Moderate risk — keep this order on the watch list","Low risk — no action needed")))))</f>
        <v/>
      </c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7">
        <f>IF($B71="","",MIN(100,10+IF($C71="Yes",22,0)+IF($B71="Tirupur",14,0)+IF($B71="Bengaluru",4,0)+IF($D71="Below 0.85",12,0)+IF($E71="woven",12,0)+IF($F71&gt;350,8,0)+IF($G71="Tier-3",10,0)+IF($G71="Tier-2",5,0)+IF($H71="COD",2,0)+IF($I71="festive",12,0)+IF($I71="monsoon",8,0)+IF(AND($I71="monsoon",$E71="woven"),10,0)+IF(AND($C71="Yes",$B71="Tirupur"),10,0)))</f>
        <v/>
      </c>
      <c r="K71" s="7">
        <f>IF($B71="","",MIN(100,15+IF($C71="Yes",10,0)+IF($B71="Tirupur",3,0)+IF($D71="Below 0.85",6,0)+IF($E71="woven",5,0)+IF($G71="Tier-3",14,0)+IF($G71="Tier-2",7,0)+IF($H71="COD",22,0)+IF($I71="festive",10,0)+IF($I71="monsoon",3,0)+IF(AND($I71="monsoon",$E71="woven"),3,0)+IF(AND($I71="festive",$H71="COD"),14,0)+IF(AND($C71="Yes",$B71="Tirupur"),2,0)+IF($J71&gt;=60,15,IF($J71&gt;=40,8,0))))</f>
        <v/>
      </c>
      <c r="L71" s="8">
        <f>IF($J71="","",IF($J71&lt;=35,"Low",IF($J71&lt;=65,"Medium","High")))</f>
        <v/>
      </c>
      <c r="M71" s="8">
        <f>IF($K71="","",IF($K71&lt;=35,"Low",IF($K71&lt;=65,"Medium","High")))</f>
        <v/>
      </c>
      <c r="N71" s="9">
        <f>IF($B71="","",IF(_xlfn.TEXTJOIN(", ",TRUE,IF($C71="Yes","New vendor",""),IF($B71="Tirupur","Tirupur cluster",""),IF($B71="Bengaluru","Bengaluru cluster",""),IF($D71="Below 0.85","Low vendor reliability",""),IF($E71="woven","Woven fabric",""),IF($F71&gt;350,"Large order (350+)",""),IF($G71="Tier-3","Tier-3 destination",""),IF($G71="Tier-2","Tier-2 destination",""),IF($H71="COD","COD payment",""),IF($I71="festive","Festive season",""),IF($I71="monsoon","Monsoon season",""))="","Baseline risk only",_xlfn.TEXTJOIN(", ",TRUE,IF($C71="Yes","New vendor",""),IF($B71="Tirupur","Tirupur cluster",""),IF($B71="Bengaluru","Bengaluru cluster",""),IF($D71="Below 0.85","Low vendor reliability",""),IF($E71="woven","Woven fabric",""),IF($F71&gt;350,"Large order (350+)",""),IF($G71="Tier-3","Tier-3 destination",""),IF($G71="Tier-2","Tier-2 destination",""),IF($H71="COD","COD payment",""),IF($I71="festive","Festive season",""),IF($I71="monsoon","Monsoon season",""))))</f>
        <v/>
      </c>
      <c r="O71" s="9">
        <f>IF($B71="","",IF(AND($L71="High",$M71="High"),"Escalate — high delay AND return risk: alternate vendor, add buffer, check sizing and payment",IF($L71="High","High delay risk — add a lead-time buffer or use a faster cluster",IF($M71="High","High return risk — tighten sizing guidance; consider a prepaid incentive",IF(OR($L71="Medium",$M71="Medium"),"Moderate risk — keep this order on the watch list","Low risk — no action needed")))))</f>
        <v/>
      </c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7">
        <f>IF($B72="","",MIN(100,10+IF($C72="Yes",22,0)+IF($B72="Tirupur",14,0)+IF($B72="Bengaluru",4,0)+IF($D72="Below 0.85",12,0)+IF($E72="woven",12,0)+IF($F72&gt;350,8,0)+IF($G72="Tier-3",10,0)+IF($G72="Tier-2",5,0)+IF($H72="COD",2,0)+IF($I72="festive",12,0)+IF($I72="monsoon",8,0)+IF(AND($I72="monsoon",$E72="woven"),10,0)+IF(AND($C72="Yes",$B72="Tirupur"),10,0)))</f>
        <v/>
      </c>
      <c r="K72" s="7">
        <f>IF($B72="","",MIN(100,15+IF($C72="Yes",10,0)+IF($B72="Tirupur",3,0)+IF($D72="Below 0.85",6,0)+IF($E72="woven",5,0)+IF($G72="Tier-3",14,0)+IF($G72="Tier-2",7,0)+IF($H72="COD",22,0)+IF($I72="festive",10,0)+IF($I72="monsoon",3,0)+IF(AND($I72="monsoon",$E72="woven"),3,0)+IF(AND($I72="festive",$H72="COD"),14,0)+IF(AND($C72="Yes",$B72="Tirupur"),2,0)+IF($J72&gt;=60,15,IF($J72&gt;=40,8,0))))</f>
        <v/>
      </c>
      <c r="L72" s="8">
        <f>IF($J72="","",IF($J72&lt;=35,"Low",IF($J72&lt;=65,"Medium","High")))</f>
        <v/>
      </c>
      <c r="M72" s="8">
        <f>IF($K72="","",IF($K72&lt;=35,"Low",IF($K72&lt;=65,"Medium","High")))</f>
        <v/>
      </c>
      <c r="N72" s="9">
        <f>IF($B72="","",IF(_xlfn.TEXTJOIN(", ",TRUE,IF($C72="Yes","New vendor",""),IF($B72="Tirupur","Tirupur cluster",""),IF($B72="Bengaluru","Bengaluru cluster",""),IF($D72="Below 0.85","Low vendor reliability",""),IF($E72="woven","Woven fabric",""),IF($F72&gt;350,"Large order (350+)",""),IF($G72="Tier-3","Tier-3 destination",""),IF($G72="Tier-2","Tier-2 destination",""),IF($H72="COD","COD payment",""),IF($I72="festive","Festive season",""),IF($I72="monsoon","Monsoon season",""))="","Baseline risk only",_xlfn.TEXTJOIN(", ",TRUE,IF($C72="Yes","New vendor",""),IF($B72="Tirupur","Tirupur cluster",""),IF($B72="Bengaluru","Bengaluru cluster",""),IF($D72="Below 0.85","Low vendor reliability",""),IF($E72="woven","Woven fabric",""),IF($F72&gt;350,"Large order (350+)",""),IF($G72="Tier-3","Tier-3 destination",""),IF($G72="Tier-2","Tier-2 destination",""),IF($H72="COD","COD payment",""),IF($I72="festive","Festive season",""),IF($I72="monsoon","Monsoon season",""))))</f>
        <v/>
      </c>
      <c r="O72" s="9">
        <f>IF($B72="","",IF(AND($L72="High",$M72="High"),"Escalate — high delay AND return risk: alternate vendor, add buffer, check sizing and payment",IF($L72="High","High delay risk — add a lead-time buffer or use a faster cluster",IF($M72="High","High return risk — tighten sizing guidance; consider a prepaid incentive",IF(OR($L72="Medium",$M72="Medium"),"Moderate risk — keep this order on the watch list","Low risk — no action needed")))))</f>
        <v/>
      </c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7">
        <f>IF($B73="","",MIN(100,10+IF($C73="Yes",22,0)+IF($B73="Tirupur",14,0)+IF($B73="Bengaluru",4,0)+IF($D73="Below 0.85",12,0)+IF($E73="woven",12,0)+IF($F73&gt;350,8,0)+IF($G73="Tier-3",10,0)+IF($G73="Tier-2",5,0)+IF($H73="COD",2,0)+IF($I73="festive",12,0)+IF($I73="monsoon",8,0)+IF(AND($I73="monsoon",$E73="woven"),10,0)+IF(AND($C73="Yes",$B73="Tirupur"),10,0)))</f>
        <v/>
      </c>
      <c r="K73" s="7">
        <f>IF($B73="","",MIN(100,15+IF($C73="Yes",10,0)+IF($B73="Tirupur",3,0)+IF($D73="Below 0.85",6,0)+IF($E73="woven",5,0)+IF($G73="Tier-3",14,0)+IF($G73="Tier-2",7,0)+IF($H73="COD",22,0)+IF($I73="festive",10,0)+IF($I73="monsoon",3,0)+IF(AND($I73="monsoon",$E73="woven"),3,0)+IF(AND($I73="festive",$H73="COD"),14,0)+IF(AND($C73="Yes",$B73="Tirupur"),2,0)+IF($J73&gt;=60,15,IF($J73&gt;=40,8,0))))</f>
        <v/>
      </c>
      <c r="L73" s="8">
        <f>IF($J73="","",IF($J73&lt;=35,"Low",IF($J73&lt;=65,"Medium","High")))</f>
        <v/>
      </c>
      <c r="M73" s="8">
        <f>IF($K73="","",IF($K73&lt;=35,"Low",IF($K73&lt;=65,"Medium","High")))</f>
        <v/>
      </c>
      <c r="N73" s="9">
        <f>IF($B73="","",IF(_xlfn.TEXTJOIN(", ",TRUE,IF($C73="Yes","New vendor",""),IF($B73="Tirupur","Tirupur cluster",""),IF($B73="Bengaluru","Bengaluru cluster",""),IF($D73="Below 0.85","Low vendor reliability",""),IF($E73="woven","Woven fabric",""),IF($F73&gt;350,"Large order (350+)",""),IF($G73="Tier-3","Tier-3 destination",""),IF($G73="Tier-2","Tier-2 destination",""),IF($H73="COD","COD payment",""),IF($I73="festive","Festive season",""),IF($I73="monsoon","Monsoon season",""))="","Baseline risk only",_xlfn.TEXTJOIN(", ",TRUE,IF($C73="Yes","New vendor",""),IF($B73="Tirupur","Tirupur cluster",""),IF($B73="Bengaluru","Bengaluru cluster",""),IF($D73="Below 0.85","Low vendor reliability",""),IF($E73="woven","Woven fabric",""),IF($F73&gt;350,"Large order (350+)",""),IF($G73="Tier-3","Tier-3 destination",""),IF($G73="Tier-2","Tier-2 destination",""),IF($H73="COD","COD payment",""),IF($I73="festive","Festive season",""),IF($I73="monsoon","Monsoon season",""))))</f>
        <v/>
      </c>
      <c r="O73" s="9">
        <f>IF($B73="","",IF(AND($L73="High",$M73="High"),"Escalate — high delay AND return risk: alternate vendor, add buffer, check sizing and payment",IF($L73="High","High delay risk — add a lead-time buffer or use a faster cluster",IF($M73="High","High return risk — tighten sizing guidance; consider a prepaid incentive",IF(OR($L73="Medium",$M73="Medium"),"Moderate risk — keep this order on the watch list","Low risk — no action needed")))))</f>
        <v/>
      </c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7">
        <f>IF($B74="","",MIN(100,10+IF($C74="Yes",22,0)+IF($B74="Tirupur",14,0)+IF($B74="Bengaluru",4,0)+IF($D74="Below 0.85",12,0)+IF($E74="woven",12,0)+IF($F74&gt;350,8,0)+IF($G74="Tier-3",10,0)+IF($G74="Tier-2",5,0)+IF($H74="COD",2,0)+IF($I74="festive",12,0)+IF($I74="monsoon",8,0)+IF(AND($I74="monsoon",$E74="woven"),10,0)+IF(AND($C74="Yes",$B74="Tirupur"),10,0)))</f>
        <v/>
      </c>
      <c r="K74" s="7">
        <f>IF($B74="","",MIN(100,15+IF($C74="Yes",10,0)+IF($B74="Tirupur",3,0)+IF($D74="Below 0.85",6,0)+IF($E74="woven",5,0)+IF($G74="Tier-3",14,0)+IF($G74="Tier-2",7,0)+IF($H74="COD",22,0)+IF($I74="festive",10,0)+IF($I74="monsoon",3,0)+IF(AND($I74="monsoon",$E74="woven"),3,0)+IF(AND($I74="festive",$H74="COD"),14,0)+IF(AND($C74="Yes",$B74="Tirupur"),2,0)+IF($J74&gt;=60,15,IF($J74&gt;=40,8,0))))</f>
        <v/>
      </c>
      <c r="L74" s="8">
        <f>IF($J74="","",IF($J74&lt;=35,"Low",IF($J74&lt;=65,"Medium","High")))</f>
        <v/>
      </c>
      <c r="M74" s="8">
        <f>IF($K74="","",IF($K74&lt;=35,"Low",IF($K74&lt;=65,"Medium","High")))</f>
        <v/>
      </c>
      <c r="N74" s="9">
        <f>IF($B74="","",IF(_xlfn.TEXTJOIN(", ",TRUE,IF($C74="Yes","New vendor",""),IF($B74="Tirupur","Tirupur cluster",""),IF($B74="Bengaluru","Bengaluru cluster",""),IF($D74="Below 0.85","Low vendor reliability",""),IF($E74="woven","Woven fabric",""),IF($F74&gt;350,"Large order (350+)",""),IF($G74="Tier-3","Tier-3 destination",""),IF($G74="Tier-2","Tier-2 destination",""),IF($H74="COD","COD payment",""),IF($I74="festive","Festive season",""),IF($I74="monsoon","Monsoon season",""))="","Baseline risk only",_xlfn.TEXTJOIN(", ",TRUE,IF($C74="Yes","New vendor",""),IF($B74="Tirupur","Tirupur cluster",""),IF($B74="Bengaluru","Bengaluru cluster",""),IF($D74="Below 0.85","Low vendor reliability",""),IF($E74="woven","Woven fabric",""),IF($F74&gt;350,"Large order (350+)",""),IF($G74="Tier-3","Tier-3 destination",""),IF($G74="Tier-2","Tier-2 destination",""),IF($H74="COD","COD payment",""),IF($I74="festive","Festive season",""),IF($I74="monsoon","Monsoon season",""))))</f>
        <v/>
      </c>
      <c r="O74" s="9">
        <f>IF($B74="","",IF(AND($L74="High",$M74="High"),"Escalate — high delay AND return risk: alternate vendor, add buffer, check sizing and payment",IF($L74="High","High delay risk — add a lead-time buffer or use a faster cluster",IF($M74="High","High return risk — tighten sizing guidance; consider a prepaid incentive",IF(OR($L74="Medium",$M74="Medium"),"Moderate risk — keep this order on the watch list","Low risk — no action needed")))))</f>
        <v/>
      </c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7">
        <f>IF($B75="","",MIN(100,10+IF($C75="Yes",22,0)+IF($B75="Tirupur",14,0)+IF($B75="Bengaluru",4,0)+IF($D75="Below 0.85",12,0)+IF($E75="woven",12,0)+IF($F75&gt;350,8,0)+IF($G75="Tier-3",10,0)+IF($G75="Tier-2",5,0)+IF($H75="COD",2,0)+IF($I75="festive",12,0)+IF($I75="monsoon",8,0)+IF(AND($I75="monsoon",$E75="woven"),10,0)+IF(AND($C75="Yes",$B75="Tirupur"),10,0)))</f>
        <v/>
      </c>
      <c r="K75" s="7">
        <f>IF($B75="","",MIN(100,15+IF($C75="Yes",10,0)+IF($B75="Tirupur",3,0)+IF($D75="Below 0.85",6,0)+IF($E75="woven",5,0)+IF($G75="Tier-3",14,0)+IF($G75="Tier-2",7,0)+IF($H75="COD",22,0)+IF($I75="festive",10,0)+IF($I75="monsoon",3,0)+IF(AND($I75="monsoon",$E75="woven"),3,0)+IF(AND($I75="festive",$H75="COD"),14,0)+IF(AND($C75="Yes",$B75="Tirupur"),2,0)+IF($J75&gt;=60,15,IF($J75&gt;=40,8,0))))</f>
        <v/>
      </c>
      <c r="L75" s="8">
        <f>IF($J75="","",IF($J75&lt;=35,"Low",IF($J75&lt;=65,"Medium","High")))</f>
        <v/>
      </c>
      <c r="M75" s="8">
        <f>IF($K75="","",IF($K75&lt;=35,"Low",IF($K75&lt;=65,"Medium","High")))</f>
        <v/>
      </c>
      <c r="N75" s="9">
        <f>IF($B75="","",IF(_xlfn.TEXTJOIN(", ",TRUE,IF($C75="Yes","New vendor",""),IF($B75="Tirupur","Tirupur cluster",""),IF($B75="Bengaluru","Bengaluru cluster",""),IF($D75="Below 0.85","Low vendor reliability",""),IF($E75="woven","Woven fabric",""),IF($F75&gt;350,"Large order (350+)",""),IF($G75="Tier-3","Tier-3 destination",""),IF($G75="Tier-2","Tier-2 destination",""),IF($H75="COD","COD payment",""),IF($I75="festive","Festive season",""),IF($I75="monsoon","Monsoon season",""))="","Baseline risk only",_xlfn.TEXTJOIN(", ",TRUE,IF($C75="Yes","New vendor",""),IF($B75="Tirupur","Tirupur cluster",""),IF($B75="Bengaluru","Bengaluru cluster",""),IF($D75="Below 0.85","Low vendor reliability",""),IF($E75="woven","Woven fabric",""),IF($F75&gt;350,"Large order (350+)",""),IF($G75="Tier-3","Tier-3 destination",""),IF($G75="Tier-2","Tier-2 destination",""),IF($H75="COD","COD payment",""),IF($I75="festive","Festive season",""),IF($I75="monsoon","Monsoon season",""))))</f>
        <v/>
      </c>
      <c r="O75" s="9">
        <f>IF($B75="","",IF(AND($L75="High",$M75="High"),"Escalate — high delay AND return risk: alternate vendor, add buffer, check sizing and payment",IF($L75="High","High delay risk — add a lead-time buffer or use a faster cluster",IF($M75="High","High return risk — tighten sizing guidance; consider a prepaid incentive",IF(OR($L75="Medium",$M75="Medium"),"Moderate risk — keep this order on the watch list","Low risk — no action needed")))))</f>
        <v/>
      </c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7">
        <f>IF($B76="","",MIN(100,10+IF($C76="Yes",22,0)+IF($B76="Tirupur",14,0)+IF($B76="Bengaluru",4,0)+IF($D76="Below 0.85",12,0)+IF($E76="woven",12,0)+IF($F76&gt;350,8,0)+IF($G76="Tier-3",10,0)+IF($G76="Tier-2",5,0)+IF($H76="COD",2,0)+IF($I76="festive",12,0)+IF($I76="monsoon",8,0)+IF(AND($I76="monsoon",$E76="woven"),10,0)+IF(AND($C76="Yes",$B76="Tirupur"),10,0)))</f>
        <v/>
      </c>
      <c r="K76" s="7">
        <f>IF($B76="","",MIN(100,15+IF($C76="Yes",10,0)+IF($B76="Tirupur",3,0)+IF($D76="Below 0.85",6,0)+IF($E76="woven",5,0)+IF($G76="Tier-3",14,0)+IF($G76="Tier-2",7,0)+IF($H76="COD",22,0)+IF($I76="festive",10,0)+IF($I76="monsoon",3,0)+IF(AND($I76="monsoon",$E76="woven"),3,0)+IF(AND($I76="festive",$H76="COD"),14,0)+IF(AND($C76="Yes",$B76="Tirupur"),2,0)+IF($J76&gt;=60,15,IF($J76&gt;=40,8,0))))</f>
        <v/>
      </c>
      <c r="L76" s="8">
        <f>IF($J76="","",IF($J76&lt;=35,"Low",IF($J76&lt;=65,"Medium","High")))</f>
        <v/>
      </c>
      <c r="M76" s="8">
        <f>IF($K76="","",IF($K76&lt;=35,"Low",IF($K76&lt;=65,"Medium","High")))</f>
        <v/>
      </c>
      <c r="N76" s="9">
        <f>IF($B76="","",IF(_xlfn.TEXTJOIN(", ",TRUE,IF($C76="Yes","New vendor",""),IF($B76="Tirupur","Tirupur cluster",""),IF($B76="Bengaluru","Bengaluru cluster",""),IF($D76="Below 0.85","Low vendor reliability",""),IF($E76="woven","Woven fabric",""),IF($F76&gt;350,"Large order (350+)",""),IF($G76="Tier-3","Tier-3 destination",""),IF($G76="Tier-2","Tier-2 destination",""),IF($H76="COD","COD payment",""),IF($I76="festive","Festive season",""),IF($I76="monsoon","Monsoon season",""))="","Baseline risk only",_xlfn.TEXTJOIN(", ",TRUE,IF($C76="Yes","New vendor",""),IF($B76="Tirupur","Tirupur cluster",""),IF($B76="Bengaluru","Bengaluru cluster",""),IF($D76="Below 0.85","Low vendor reliability",""),IF($E76="woven","Woven fabric",""),IF($F76&gt;350,"Large order (350+)",""),IF($G76="Tier-3","Tier-3 destination",""),IF($G76="Tier-2","Tier-2 destination",""),IF($H76="COD","COD payment",""),IF($I76="festive","Festive season",""),IF($I76="monsoon","Monsoon season",""))))</f>
        <v/>
      </c>
      <c r="O76" s="9">
        <f>IF($B76="","",IF(AND($L76="High",$M76="High"),"Escalate — high delay AND return risk: alternate vendor, add buffer, check sizing and payment",IF($L76="High","High delay risk — add a lead-time buffer or use a faster cluster",IF($M76="High","High return risk — tighten sizing guidance; consider a prepaid incentive",IF(OR($L76="Medium",$M76="Medium"),"Moderate risk — keep this order on the watch list","Low risk — no action needed")))))</f>
        <v/>
      </c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7">
        <f>IF($B77="","",MIN(100,10+IF($C77="Yes",22,0)+IF($B77="Tirupur",14,0)+IF($B77="Bengaluru",4,0)+IF($D77="Below 0.85",12,0)+IF($E77="woven",12,0)+IF($F77&gt;350,8,0)+IF($G77="Tier-3",10,0)+IF($G77="Tier-2",5,0)+IF($H77="COD",2,0)+IF($I77="festive",12,0)+IF($I77="monsoon",8,0)+IF(AND($I77="monsoon",$E77="woven"),10,0)+IF(AND($C77="Yes",$B77="Tirupur"),10,0)))</f>
        <v/>
      </c>
      <c r="K77" s="7">
        <f>IF($B77="","",MIN(100,15+IF($C77="Yes",10,0)+IF($B77="Tirupur",3,0)+IF($D77="Below 0.85",6,0)+IF($E77="woven",5,0)+IF($G77="Tier-3",14,0)+IF($G77="Tier-2",7,0)+IF($H77="COD",22,0)+IF($I77="festive",10,0)+IF($I77="monsoon",3,0)+IF(AND($I77="monsoon",$E77="woven"),3,0)+IF(AND($I77="festive",$H77="COD"),14,0)+IF(AND($C77="Yes",$B77="Tirupur"),2,0)+IF($J77&gt;=60,15,IF($J77&gt;=40,8,0))))</f>
        <v/>
      </c>
      <c r="L77" s="8">
        <f>IF($J77="","",IF($J77&lt;=35,"Low",IF($J77&lt;=65,"Medium","High")))</f>
        <v/>
      </c>
      <c r="M77" s="8">
        <f>IF($K77="","",IF($K77&lt;=35,"Low",IF($K77&lt;=65,"Medium","High")))</f>
        <v/>
      </c>
      <c r="N77" s="9">
        <f>IF($B77="","",IF(_xlfn.TEXTJOIN(", ",TRUE,IF($C77="Yes","New vendor",""),IF($B77="Tirupur","Tirupur cluster",""),IF($B77="Bengaluru","Bengaluru cluster",""),IF($D77="Below 0.85","Low vendor reliability",""),IF($E77="woven","Woven fabric",""),IF($F77&gt;350,"Large order (350+)",""),IF($G77="Tier-3","Tier-3 destination",""),IF($G77="Tier-2","Tier-2 destination",""),IF($H77="COD","COD payment",""),IF($I77="festive","Festive season",""),IF($I77="monsoon","Monsoon season",""))="","Baseline risk only",_xlfn.TEXTJOIN(", ",TRUE,IF($C77="Yes","New vendor",""),IF($B77="Tirupur","Tirupur cluster",""),IF($B77="Bengaluru","Bengaluru cluster",""),IF($D77="Below 0.85","Low vendor reliability",""),IF($E77="woven","Woven fabric",""),IF($F77&gt;350,"Large order (350+)",""),IF($G77="Tier-3","Tier-3 destination",""),IF($G77="Tier-2","Tier-2 destination",""),IF($H77="COD","COD payment",""),IF($I77="festive","Festive season",""),IF($I77="monsoon","Monsoon season",""))))</f>
        <v/>
      </c>
      <c r="O77" s="9">
        <f>IF($B77="","",IF(AND($L77="High",$M77="High"),"Escalate — high delay AND return risk: alternate vendor, add buffer, check sizing and payment",IF($L77="High","High delay risk — add a lead-time buffer or use a faster cluster",IF($M77="High","High return risk — tighten sizing guidance; consider a prepaid incentive",IF(OR($L77="Medium",$M77="Medium"),"Moderate risk — keep this order on the watch list","Low risk — no action needed")))))</f>
        <v/>
      </c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7">
        <f>IF($B78="","",MIN(100,10+IF($C78="Yes",22,0)+IF($B78="Tirupur",14,0)+IF($B78="Bengaluru",4,0)+IF($D78="Below 0.85",12,0)+IF($E78="woven",12,0)+IF($F78&gt;350,8,0)+IF($G78="Tier-3",10,0)+IF($G78="Tier-2",5,0)+IF($H78="COD",2,0)+IF($I78="festive",12,0)+IF($I78="monsoon",8,0)+IF(AND($I78="monsoon",$E78="woven"),10,0)+IF(AND($C78="Yes",$B78="Tirupur"),10,0)))</f>
        <v/>
      </c>
      <c r="K78" s="7">
        <f>IF($B78="","",MIN(100,15+IF($C78="Yes",10,0)+IF($B78="Tirupur",3,0)+IF($D78="Below 0.85",6,0)+IF($E78="woven",5,0)+IF($G78="Tier-3",14,0)+IF($G78="Tier-2",7,0)+IF($H78="COD",22,0)+IF($I78="festive",10,0)+IF($I78="monsoon",3,0)+IF(AND($I78="monsoon",$E78="woven"),3,0)+IF(AND($I78="festive",$H78="COD"),14,0)+IF(AND($C78="Yes",$B78="Tirupur"),2,0)+IF($J78&gt;=60,15,IF($J78&gt;=40,8,0))))</f>
        <v/>
      </c>
      <c r="L78" s="8">
        <f>IF($J78="","",IF($J78&lt;=35,"Low",IF($J78&lt;=65,"Medium","High")))</f>
        <v/>
      </c>
      <c r="M78" s="8">
        <f>IF($K78="","",IF($K78&lt;=35,"Low",IF($K78&lt;=65,"Medium","High")))</f>
        <v/>
      </c>
      <c r="N78" s="9">
        <f>IF($B78="","",IF(_xlfn.TEXTJOIN(", ",TRUE,IF($C78="Yes","New vendor",""),IF($B78="Tirupur","Tirupur cluster",""),IF($B78="Bengaluru","Bengaluru cluster",""),IF($D78="Below 0.85","Low vendor reliability",""),IF($E78="woven","Woven fabric",""),IF($F78&gt;350,"Large order (350+)",""),IF($G78="Tier-3","Tier-3 destination",""),IF($G78="Tier-2","Tier-2 destination",""),IF($H78="COD","COD payment",""),IF($I78="festive","Festive season",""),IF($I78="monsoon","Monsoon season",""))="","Baseline risk only",_xlfn.TEXTJOIN(", ",TRUE,IF($C78="Yes","New vendor",""),IF($B78="Tirupur","Tirupur cluster",""),IF($B78="Bengaluru","Bengaluru cluster",""),IF($D78="Below 0.85","Low vendor reliability",""),IF($E78="woven","Woven fabric",""),IF($F78&gt;350,"Large order (350+)",""),IF($G78="Tier-3","Tier-3 destination",""),IF($G78="Tier-2","Tier-2 destination",""),IF($H78="COD","COD payment",""),IF($I78="festive","Festive season",""),IF($I78="monsoon","Monsoon season",""))))</f>
        <v/>
      </c>
      <c r="O78" s="9">
        <f>IF($B78="","",IF(AND($L78="High",$M78="High"),"Escalate — high delay AND return risk: alternate vendor, add buffer, check sizing and payment",IF($L78="High","High delay risk — add a lead-time buffer or use a faster cluster",IF($M78="High","High return risk — tighten sizing guidance; consider a prepaid incentive",IF(OR($L78="Medium",$M78="Medium"),"Moderate risk — keep this order on the watch list","Low risk — no action needed")))))</f>
        <v/>
      </c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7">
        <f>IF($B79="","",MIN(100,10+IF($C79="Yes",22,0)+IF($B79="Tirupur",14,0)+IF($B79="Bengaluru",4,0)+IF($D79="Below 0.85",12,0)+IF($E79="woven",12,0)+IF($F79&gt;350,8,0)+IF($G79="Tier-3",10,0)+IF($G79="Tier-2",5,0)+IF($H79="COD",2,0)+IF($I79="festive",12,0)+IF($I79="monsoon",8,0)+IF(AND($I79="monsoon",$E79="woven"),10,0)+IF(AND($C79="Yes",$B79="Tirupur"),10,0)))</f>
        <v/>
      </c>
      <c r="K79" s="7">
        <f>IF($B79="","",MIN(100,15+IF($C79="Yes",10,0)+IF($B79="Tirupur",3,0)+IF($D79="Below 0.85",6,0)+IF($E79="woven",5,0)+IF($G79="Tier-3",14,0)+IF($G79="Tier-2",7,0)+IF($H79="COD",22,0)+IF($I79="festive",10,0)+IF($I79="monsoon",3,0)+IF(AND($I79="monsoon",$E79="woven"),3,0)+IF(AND($I79="festive",$H79="COD"),14,0)+IF(AND($C79="Yes",$B79="Tirupur"),2,0)+IF($J79&gt;=60,15,IF($J79&gt;=40,8,0))))</f>
        <v/>
      </c>
      <c r="L79" s="8">
        <f>IF($J79="","",IF($J79&lt;=35,"Low",IF($J79&lt;=65,"Medium","High")))</f>
        <v/>
      </c>
      <c r="M79" s="8">
        <f>IF($K79="","",IF($K79&lt;=35,"Low",IF($K79&lt;=65,"Medium","High")))</f>
        <v/>
      </c>
      <c r="N79" s="9">
        <f>IF($B79="","",IF(_xlfn.TEXTJOIN(", ",TRUE,IF($C79="Yes","New vendor",""),IF($B79="Tirupur","Tirupur cluster",""),IF($B79="Bengaluru","Bengaluru cluster",""),IF($D79="Below 0.85","Low vendor reliability",""),IF($E79="woven","Woven fabric",""),IF($F79&gt;350,"Large order (350+)",""),IF($G79="Tier-3","Tier-3 destination",""),IF($G79="Tier-2","Tier-2 destination",""),IF($H79="COD","COD payment",""),IF($I79="festive","Festive season",""),IF($I79="monsoon","Monsoon season",""))="","Baseline risk only",_xlfn.TEXTJOIN(", ",TRUE,IF($C79="Yes","New vendor",""),IF($B79="Tirupur","Tirupur cluster",""),IF($B79="Bengaluru","Bengaluru cluster",""),IF($D79="Below 0.85","Low vendor reliability",""),IF($E79="woven","Woven fabric",""),IF($F79&gt;350,"Large order (350+)",""),IF($G79="Tier-3","Tier-3 destination",""),IF($G79="Tier-2","Tier-2 destination",""),IF($H79="COD","COD payment",""),IF($I79="festive","Festive season",""),IF($I79="monsoon","Monsoon season",""))))</f>
        <v/>
      </c>
      <c r="O79" s="9">
        <f>IF($B79="","",IF(AND($L79="High",$M79="High"),"Escalate — high delay AND return risk: alternate vendor, add buffer, check sizing and payment",IF($L79="High","High delay risk — add a lead-time buffer or use a faster cluster",IF($M79="High","High return risk — tighten sizing guidance; consider a prepaid incentive",IF(OR($L79="Medium",$M79="Medium"),"Moderate risk — keep this order on the watch list","Low risk — no action needed")))))</f>
        <v/>
      </c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7">
        <f>IF($B80="","",MIN(100,10+IF($C80="Yes",22,0)+IF($B80="Tirupur",14,0)+IF($B80="Bengaluru",4,0)+IF($D80="Below 0.85",12,0)+IF($E80="woven",12,0)+IF($F80&gt;350,8,0)+IF($G80="Tier-3",10,0)+IF($G80="Tier-2",5,0)+IF($H80="COD",2,0)+IF($I80="festive",12,0)+IF($I80="monsoon",8,0)+IF(AND($I80="monsoon",$E80="woven"),10,0)+IF(AND($C80="Yes",$B80="Tirupur"),10,0)))</f>
        <v/>
      </c>
      <c r="K80" s="7">
        <f>IF($B80="","",MIN(100,15+IF($C80="Yes",10,0)+IF($B80="Tirupur",3,0)+IF($D80="Below 0.85",6,0)+IF($E80="woven",5,0)+IF($G80="Tier-3",14,0)+IF($G80="Tier-2",7,0)+IF($H80="COD",22,0)+IF($I80="festive",10,0)+IF($I80="monsoon",3,0)+IF(AND($I80="monsoon",$E80="woven"),3,0)+IF(AND($I80="festive",$H80="COD"),14,0)+IF(AND($C80="Yes",$B80="Tirupur"),2,0)+IF($J80&gt;=60,15,IF($J80&gt;=40,8,0))))</f>
        <v/>
      </c>
      <c r="L80" s="8">
        <f>IF($J80="","",IF($J80&lt;=35,"Low",IF($J80&lt;=65,"Medium","High")))</f>
        <v/>
      </c>
      <c r="M80" s="8">
        <f>IF($K80="","",IF($K80&lt;=35,"Low",IF($K80&lt;=65,"Medium","High")))</f>
        <v/>
      </c>
      <c r="N80" s="9">
        <f>IF($B80="","",IF(_xlfn.TEXTJOIN(", ",TRUE,IF($C80="Yes","New vendor",""),IF($B80="Tirupur","Tirupur cluster",""),IF($B80="Bengaluru","Bengaluru cluster",""),IF($D80="Below 0.85","Low vendor reliability",""),IF($E80="woven","Woven fabric",""),IF($F80&gt;350,"Large order (350+)",""),IF($G80="Tier-3","Tier-3 destination",""),IF($G80="Tier-2","Tier-2 destination",""),IF($H80="COD","COD payment",""),IF($I80="festive","Festive season",""),IF($I80="monsoon","Monsoon season",""))="","Baseline risk only",_xlfn.TEXTJOIN(", ",TRUE,IF($C80="Yes","New vendor",""),IF($B80="Tirupur","Tirupur cluster",""),IF($B80="Bengaluru","Bengaluru cluster",""),IF($D80="Below 0.85","Low vendor reliability",""),IF($E80="woven","Woven fabric",""),IF($F80&gt;350,"Large order (350+)",""),IF($G80="Tier-3","Tier-3 destination",""),IF($G80="Tier-2","Tier-2 destination",""),IF($H80="COD","COD payment",""),IF($I80="festive","Festive season",""),IF($I80="monsoon","Monsoon season",""))))</f>
        <v/>
      </c>
      <c r="O80" s="9">
        <f>IF($B80="","",IF(AND($L80="High",$M80="High"),"Escalate — high delay AND return risk: alternate vendor, add buffer, check sizing and payment",IF($L80="High","High delay risk — add a lead-time buffer or use a faster cluster",IF($M80="High","High return risk — tighten sizing guidance; consider a prepaid incentive",IF(OR($L80="Medium",$M80="Medium"),"Moderate risk — keep this order on the watch list","Low risk — no action needed")))))</f>
        <v/>
      </c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7">
        <f>IF($B81="","",MIN(100,10+IF($C81="Yes",22,0)+IF($B81="Tirupur",14,0)+IF($B81="Bengaluru",4,0)+IF($D81="Below 0.85",12,0)+IF($E81="woven",12,0)+IF($F81&gt;350,8,0)+IF($G81="Tier-3",10,0)+IF($G81="Tier-2",5,0)+IF($H81="COD",2,0)+IF($I81="festive",12,0)+IF($I81="monsoon",8,0)+IF(AND($I81="monsoon",$E81="woven"),10,0)+IF(AND($C81="Yes",$B81="Tirupur"),10,0)))</f>
        <v/>
      </c>
      <c r="K81" s="7">
        <f>IF($B81="","",MIN(100,15+IF($C81="Yes",10,0)+IF($B81="Tirupur",3,0)+IF($D81="Below 0.85",6,0)+IF($E81="woven",5,0)+IF($G81="Tier-3",14,0)+IF($G81="Tier-2",7,0)+IF($H81="COD",22,0)+IF($I81="festive",10,0)+IF($I81="monsoon",3,0)+IF(AND($I81="monsoon",$E81="woven"),3,0)+IF(AND($I81="festive",$H81="COD"),14,0)+IF(AND($C81="Yes",$B81="Tirupur"),2,0)+IF($J81&gt;=60,15,IF($J81&gt;=40,8,0))))</f>
        <v/>
      </c>
      <c r="L81" s="8">
        <f>IF($J81="","",IF($J81&lt;=35,"Low",IF($J81&lt;=65,"Medium","High")))</f>
        <v/>
      </c>
      <c r="M81" s="8">
        <f>IF($K81="","",IF($K81&lt;=35,"Low",IF($K81&lt;=65,"Medium","High")))</f>
        <v/>
      </c>
      <c r="N81" s="9">
        <f>IF($B81="","",IF(_xlfn.TEXTJOIN(", ",TRUE,IF($C81="Yes","New vendor",""),IF($B81="Tirupur","Tirupur cluster",""),IF($B81="Bengaluru","Bengaluru cluster",""),IF($D81="Below 0.85","Low vendor reliability",""),IF($E81="woven","Woven fabric",""),IF($F81&gt;350,"Large order (350+)",""),IF($G81="Tier-3","Tier-3 destination",""),IF($G81="Tier-2","Tier-2 destination",""),IF($H81="COD","COD payment",""),IF($I81="festive","Festive season",""),IF($I81="monsoon","Monsoon season",""))="","Baseline risk only",_xlfn.TEXTJOIN(", ",TRUE,IF($C81="Yes","New vendor",""),IF($B81="Tirupur","Tirupur cluster",""),IF($B81="Bengaluru","Bengaluru cluster",""),IF($D81="Below 0.85","Low vendor reliability",""),IF($E81="woven","Woven fabric",""),IF($F81&gt;350,"Large order (350+)",""),IF($G81="Tier-3","Tier-3 destination",""),IF($G81="Tier-2","Tier-2 destination",""),IF($H81="COD","COD payment",""),IF($I81="festive","Festive season",""),IF($I81="monsoon","Monsoon season",""))))</f>
        <v/>
      </c>
      <c r="O81" s="9">
        <f>IF($B81="","",IF(AND($L81="High",$M81="High"),"Escalate — high delay AND return risk: alternate vendor, add buffer, check sizing and payment",IF($L81="High","High delay risk — add a lead-time buffer or use a faster cluster",IF($M81="High","High return risk — tighten sizing guidance; consider a prepaid incentive",IF(OR($L81="Medium",$M81="Medium"),"Moderate risk — keep this order on the watch list","Low risk — no action needed")))))</f>
        <v/>
      </c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7">
        <f>IF($B82="","",MIN(100,10+IF($C82="Yes",22,0)+IF($B82="Tirupur",14,0)+IF($B82="Bengaluru",4,0)+IF($D82="Below 0.85",12,0)+IF($E82="woven",12,0)+IF($F82&gt;350,8,0)+IF($G82="Tier-3",10,0)+IF($G82="Tier-2",5,0)+IF($H82="COD",2,0)+IF($I82="festive",12,0)+IF($I82="monsoon",8,0)+IF(AND($I82="monsoon",$E82="woven"),10,0)+IF(AND($C82="Yes",$B82="Tirupur"),10,0)))</f>
        <v/>
      </c>
      <c r="K82" s="7">
        <f>IF($B82="","",MIN(100,15+IF($C82="Yes",10,0)+IF($B82="Tirupur",3,0)+IF($D82="Below 0.85",6,0)+IF($E82="woven",5,0)+IF($G82="Tier-3",14,0)+IF($G82="Tier-2",7,0)+IF($H82="COD",22,0)+IF($I82="festive",10,0)+IF($I82="monsoon",3,0)+IF(AND($I82="monsoon",$E82="woven"),3,0)+IF(AND($I82="festive",$H82="COD"),14,0)+IF(AND($C82="Yes",$B82="Tirupur"),2,0)+IF($J82&gt;=60,15,IF($J82&gt;=40,8,0))))</f>
        <v/>
      </c>
      <c r="L82" s="8">
        <f>IF($J82="","",IF($J82&lt;=35,"Low",IF($J82&lt;=65,"Medium","High")))</f>
        <v/>
      </c>
      <c r="M82" s="8">
        <f>IF($K82="","",IF($K82&lt;=35,"Low",IF($K82&lt;=65,"Medium","High")))</f>
        <v/>
      </c>
      <c r="N82" s="9">
        <f>IF($B82="","",IF(_xlfn.TEXTJOIN(", ",TRUE,IF($C82="Yes","New vendor",""),IF($B82="Tirupur","Tirupur cluster",""),IF($B82="Bengaluru","Bengaluru cluster",""),IF($D82="Below 0.85","Low vendor reliability",""),IF($E82="woven","Woven fabric",""),IF($F82&gt;350,"Large order (350+)",""),IF($G82="Tier-3","Tier-3 destination",""),IF($G82="Tier-2","Tier-2 destination",""),IF($H82="COD","COD payment",""),IF($I82="festive","Festive season",""),IF($I82="monsoon","Monsoon season",""))="","Baseline risk only",_xlfn.TEXTJOIN(", ",TRUE,IF($C82="Yes","New vendor",""),IF($B82="Tirupur","Tirupur cluster",""),IF($B82="Bengaluru","Bengaluru cluster",""),IF($D82="Below 0.85","Low vendor reliability",""),IF($E82="woven","Woven fabric",""),IF($F82&gt;350,"Large order (350+)",""),IF($G82="Tier-3","Tier-3 destination",""),IF($G82="Tier-2","Tier-2 destination",""),IF($H82="COD","COD payment",""),IF($I82="festive","Festive season",""),IF($I82="monsoon","Monsoon season",""))))</f>
        <v/>
      </c>
      <c r="O82" s="9">
        <f>IF($B82="","",IF(AND($L82="High",$M82="High"),"Escalate — high delay AND return risk: alternate vendor, add buffer, check sizing and payment",IF($L82="High","High delay risk — add a lead-time buffer or use a faster cluster",IF($M82="High","High return risk — tighten sizing guidance; consider a prepaid incentive",IF(OR($L82="Medium",$M82="Medium"),"Moderate risk — keep this order on the watch list","Low risk — no action needed")))))</f>
        <v/>
      </c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7">
        <f>IF($B83="","",MIN(100,10+IF($C83="Yes",22,0)+IF($B83="Tirupur",14,0)+IF($B83="Bengaluru",4,0)+IF($D83="Below 0.85",12,0)+IF($E83="woven",12,0)+IF($F83&gt;350,8,0)+IF($G83="Tier-3",10,0)+IF($G83="Tier-2",5,0)+IF($H83="COD",2,0)+IF($I83="festive",12,0)+IF($I83="monsoon",8,0)+IF(AND($I83="monsoon",$E83="woven"),10,0)+IF(AND($C83="Yes",$B83="Tirupur"),10,0)))</f>
        <v/>
      </c>
      <c r="K83" s="7">
        <f>IF($B83="","",MIN(100,15+IF($C83="Yes",10,0)+IF($B83="Tirupur",3,0)+IF($D83="Below 0.85",6,0)+IF($E83="woven",5,0)+IF($G83="Tier-3",14,0)+IF($G83="Tier-2",7,0)+IF($H83="COD",22,0)+IF($I83="festive",10,0)+IF($I83="monsoon",3,0)+IF(AND($I83="monsoon",$E83="woven"),3,0)+IF(AND($I83="festive",$H83="COD"),14,0)+IF(AND($C83="Yes",$B83="Tirupur"),2,0)+IF($J83&gt;=60,15,IF($J83&gt;=40,8,0))))</f>
        <v/>
      </c>
      <c r="L83" s="8">
        <f>IF($J83="","",IF($J83&lt;=35,"Low",IF($J83&lt;=65,"Medium","High")))</f>
        <v/>
      </c>
      <c r="M83" s="8">
        <f>IF($K83="","",IF($K83&lt;=35,"Low",IF($K83&lt;=65,"Medium","High")))</f>
        <v/>
      </c>
      <c r="N83" s="9">
        <f>IF($B83="","",IF(_xlfn.TEXTJOIN(", ",TRUE,IF($C83="Yes","New vendor",""),IF($B83="Tirupur","Tirupur cluster",""),IF($B83="Bengaluru","Bengaluru cluster",""),IF($D83="Below 0.85","Low vendor reliability",""),IF($E83="woven","Woven fabric",""),IF($F83&gt;350,"Large order (350+)",""),IF($G83="Tier-3","Tier-3 destination",""),IF($G83="Tier-2","Tier-2 destination",""),IF($H83="COD","COD payment",""),IF($I83="festive","Festive season",""),IF($I83="monsoon","Monsoon season",""))="","Baseline risk only",_xlfn.TEXTJOIN(", ",TRUE,IF($C83="Yes","New vendor",""),IF($B83="Tirupur","Tirupur cluster",""),IF($B83="Bengaluru","Bengaluru cluster",""),IF($D83="Below 0.85","Low vendor reliability",""),IF($E83="woven","Woven fabric",""),IF($F83&gt;350,"Large order (350+)",""),IF($G83="Tier-3","Tier-3 destination",""),IF($G83="Tier-2","Tier-2 destination",""),IF($H83="COD","COD payment",""),IF($I83="festive","Festive season",""),IF($I83="monsoon","Monsoon season",""))))</f>
        <v/>
      </c>
      <c r="O83" s="9">
        <f>IF($B83="","",IF(AND($L83="High",$M83="High"),"Escalate — high delay AND return risk: alternate vendor, add buffer, check sizing and payment",IF($L83="High","High delay risk — add a lead-time buffer or use a faster cluster",IF($M83="High","High return risk — tighten sizing guidance; consider a prepaid incentive",IF(OR($L83="Medium",$M83="Medium"),"Moderate risk — keep this order on the watch list","Low risk — no action needed")))))</f>
        <v/>
      </c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7">
        <f>IF($B84="","",MIN(100,10+IF($C84="Yes",22,0)+IF($B84="Tirupur",14,0)+IF($B84="Bengaluru",4,0)+IF($D84="Below 0.85",12,0)+IF($E84="woven",12,0)+IF($F84&gt;350,8,0)+IF($G84="Tier-3",10,0)+IF($G84="Tier-2",5,0)+IF($H84="COD",2,0)+IF($I84="festive",12,0)+IF($I84="monsoon",8,0)+IF(AND($I84="monsoon",$E84="woven"),10,0)+IF(AND($C84="Yes",$B84="Tirupur"),10,0)))</f>
        <v/>
      </c>
      <c r="K84" s="7">
        <f>IF($B84="","",MIN(100,15+IF($C84="Yes",10,0)+IF($B84="Tirupur",3,0)+IF($D84="Below 0.85",6,0)+IF($E84="woven",5,0)+IF($G84="Tier-3",14,0)+IF($G84="Tier-2",7,0)+IF($H84="COD",22,0)+IF($I84="festive",10,0)+IF($I84="monsoon",3,0)+IF(AND($I84="monsoon",$E84="woven"),3,0)+IF(AND($I84="festive",$H84="COD"),14,0)+IF(AND($C84="Yes",$B84="Tirupur"),2,0)+IF($J84&gt;=60,15,IF($J84&gt;=40,8,0))))</f>
        <v/>
      </c>
      <c r="L84" s="8">
        <f>IF($J84="","",IF($J84&lt;=35,"Low",IF($J84&lt;=65,"Medium","High")))</f>
        <v/>
      </c>
      <c r="M84" s="8">
        <f>IF($K84="","",IF($K84&lt;=35,"Low",IF($K84&lt;=65,"Medium","High")))</f>
        <v/>
      </c>
      <c r="N84" s="9">
        <f>IF($B84="","",IF(_xlfn.TEXTJOIN(", ",TRUE,IF($C84="Yes","New vendor",""),IF($B84="Tirupur","Tirupur cluster",""),IF($B84="Bengaluru","Bengaluru cluster",""),IF($D84="Below 0.85","Low vendor reliability",""),IF($E84="woven","Woven fabric",""),IF($F84&gt;350,"Large order (350+)",""),IF($G84="Tier-3","Tier-3 destination",""),IF($G84="Tier-2","Tier-2 destination",""),IF($H84="COD","COD payment",""),IF($I84="festive","Festive season",""),IF($I84="monsoon","Monsoon season",""))="","Baseline risk only",_xlfn.TEXTJOIN(", ",TRUE,IF($C84="Yes","New vendor",""),IF($B84="Tirupur","Tirupur cluster",""),IF($B84="Bengaluru","Bengaluru cluster",""),IF($D84="Below 0.85","Low vendor reliability",""),IF($E84="woven","Woven fabric",""),IF($F84&gt;350,"Large order (350+)",""),IF($G84="Tier-3","Tier-3 destination",""),IF($G84="Tier-2","Tier-2 destination",""),IF($H84="COD","COD payment",""),IF($I84="festive","Festive season",""),IF($I84="monsoon","Monsoon season",""))))</f>
        <v/>
      </c>
      <c r="O84" s="9">
        <f>IF($B84="","",IF(AND($L84="High",$M84="High"),"Escalate — high delay AND return risk: alternate vendor, add buffer, check sizing and payment",IF($L84="High","High delay risk — add a lead-time buffer or use a faster cluster",IF($M84="High","High return risk — tighten sizing guidance; consider a prepaid incentive",IF(OR($L84="Medium",$M84="Medium"),"Moderate risk — keep this order on the watch list","Low risk — no action needed")))))</f>
        <v/>
      </c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7">
        <f>IF($B85="","",MIN(100,10+IF($C85="Yes",22,0)+IF($B85="Tirupur",14,0)+IF($B85="Bengaluru",4,0)+IF($D85="Below 0.85",12,0)+IF($E85="woven",12,0)+IF($F85&gt;350,8,0)+IF($G85="Tier-3",10,0)+IF($G85="Tier-2",5,0)+IF($H85="COD",2,0)+IF($I85="festive",12,0)+IF($I85="monsoon",8,0)+IF(AND($I85="monsoon",$E85="woven"),10,0)+IF(AND($C85="Yes",$B85="Tirupur"),10,0)))</f>
        <v/>
      </c>
      <c r="K85" s="7">
        <f>IF($B85="","",MIN(100,15+IF($C85="Yes",10,0)+IF($B85="Tirupur",3,0)+IF($D85="Below 0.85",6,0)+IF($E85="woven",5,0)+IF($G85="Tier-3",14,0)+IF($G85="Tier-2",7,0)+IF($H85="COD",22,0)+IF($I85="festive",10,0)+IF($I85="monsoon",3,0)+IF(AND($I85="monsoon",$E85="woven"),3,0)+IF(AND($I85="festive",$H85="COD"),14,0)+IF(AND($C85="Yes",$B85="Tirupur"),2,0)+IF($J85&gt;=60,15,IF($J85&gt;=40,8,0))))</f>
        <v/>
      </c>
      <c r="L85" s="8">
        <f>IF($J85="","",IF($J85&lt;=35,"Low",IF($J85&lt;=65,"Medium","High")))</f>
        <v/>
      </c>
      <c r="M85" s="8">
        <f>IF($K85="","",IF($K85&lt;=35,"Low",IF($K85&lt;=65,"Medium","High")))</f>
        <v/>
      </c>
      <c r="N85" s="9">
        <f>IF($B85="","",IF(_xlfn.TEXTJOIN(", ",TRUE,IF($C85="Yes","New vendor",""),IF($B85="Tirupur","Tirupur cluster",""),IF($B85="Bengaluru","Bengaluru cluster",""),IF($D85="Below 0.85","Low vendor reliability",""),IF($E85="woven","Woven fabric",""),IF($F85&gt;350,"Large order (350+)",""),IF($G85="Tier-3","Tier-3 destination",""),IF($G85="Tier-2","Tier-2 destination",""),IF($H85="COD","COD payment",""),IF($I85="festive","Festive season",""),IF($I85="monsoon","Monsoon season",""))="","Baseline risk only",_xlfn.TEXTJOIN(", ",TRUE,IF($C85="Yes","New vendor",""),IF($B85="Tirupur","Tirupur cluster",""),IF($B85="Bengaluru","Bengaluru cluster",""),IF($D85="Below 0.85","Low vendor reliability",""),IF($E85="woven","Woven fabric",""),IF($F85&gt;350,"Large order (350+)",""),IF($G85="Tier-3","Tier-3 destination",""),IF($G85="Tier-2","Tier-2 destination",""),IF($H85="COD","COD payment",""),IF($I85="festive","Festive season",""),IF($I85="monsoon","Monsoon season",""))))</f>
        <v/>
      </c>
      <c r="O85" s="9">
        <f>IF($B85="","",IF(AND($L85="High",$M85="High"),"Escalate — high delay AND return risk: alternate vendor, add buffer, check sizing and payment",IF($L85="High","High delay risk — add a lead-time buffer or use a faster cluster",IF($M85="High","High return risk — tighten sizing guidance; consider a prepaid incentive",IF(OR($L85="Medium",$M85="Medium"),"Moderate risk — keep this order on the watch list","Low risk — no action needed")))))</f>
        <v/>
      </c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7">
        <f>IF($B86="","",MIN(100,10+IF($C86="Yes",22,0)+IF($B86="Tirupur",14,0)+IF($B86="Bengaluru",4,0)+IF($D86="Below 0.85",12,0)+IF($E86="woven",12,0)+IF($F86&gt;350,8,0)+IF($G86="Tier-3",10,0)+IF($G86="Tier-2",5,0)+IF($H86="COD",2,0)+IF($I86="festive",12,0)+IF($I86="monsoon",8,0)+IF(AND($I86="monsoon",$E86="woven"),10,0)+IF(AND($C86="Yes",$B86="Tirupur"),10,0)))</f>
        <v/>
      </c>
      <c r="K86" s="7">
        <f>IF($B86="","",MIN(100,15+IF($C86="Yes",10,0)+IF($B86="Tirupur",3,0)+IF($D86="Below 0.85",6,0)+IF($E86="woven",5,0)+IF($G86="Tier-3",14,0)+IF($G86="Tier-2",7,0)+IF($H86="COD",22,0)+IF($I86="festive",10,0)+IF($I86="monsoon",3,0)+IF(AND($I86="monsoon",$E86="woven"),3,0)+IF(AND($I86="festive",$H86="COD"),14,0)+IF(AND($C86="Yes",$B86="Tirupur"),2,0)+IF($J86&gt;=60,15,IF($J86&gt;=40,8,0))))</f>
        <v/>
      </c>
      <c r="L86" s="8">
        <f>IF($J86="","",IF($J86&lt;=35,"Low",IF($J86&lt;=65,"Medium","High")))</f>
        <v/>
      </c>
      <c r="M86" s="8">
        <f>IF($K86="","",IF($K86&lt;=35,"Low",IF($K86&lt;=65,"Medium","High")))</f>
        <v/>
      </c>
      <c r="N86" s="9">
        <f>IF($B86="","",IF(_xlfn.TEXTJOIN(", ",TRUE,IF($C86="Yes","New vendor",""),IF($B86="Tirupur","Tirupur cluster",""),IF($B86="Bengaluru","Bengaluru cluster",""),IF($D86="Below 0.85","Low vendor reliability",""),IF($E86="woven","Woven fabric",""),IF($F86&gt;350,"Large order (350+)",""),IF($G86="Tier-3","Tier-3 destination",""),IF($G86="Tier-2","Tier-2 destination",""),IF($H86="COD","COD payment",""),IF($I86="festive","Festive season",""),IF($I86="monsoon","Monsoon season",""))="","Baseline risk only",_xlfn.TEXTJOIN(", ",TRUE,IF($C86="Yes","New vendor",""),IF($B86="Tirupur","Tirupur cluster",""),IF($B86="Bengaluru","Bengaluru cluster",""),IF($D86="Below 0.85","Low vendor reliability",""),IF($E86="woven","Woven fabric",""),IF($F86&gt;350,"Large order (350+)",""),IF($G86="Tier-3","Tier-3 destination",""),IF($G86="Tier-2","Tier-2 destination",""),IF($H86="COD","COD payment",""),IF($I86="festive","Festive season",""),IF($I86="monsoon","Monsoon season",""))))</f>
        <v/>
      </c>
      <c r="O86" s="9">
        <f>IF($B86="","",IF(AND($L86="High",$M86="High"),"Escalate — high delay AND return risk: alternate vendor, add buffer, check sizing and payment",IF($L86="High","High delay risk — add a lead-time buffer or use a faster cluster",IF($M86="High","High return risk — tighten sizing guidance; consider a prepaid incentive",IF(OR($L86="Medium",$M86="Medium"),"Moderate risk — keep this order on the watch list","Low risk — no action needed")))))</f>
        <v/>
      </c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7">
        <f>IF($B87="","",MIN(100,10+IF($C87="Yes",22,0)+IF($B87="Tirupur",14,0)+IF($B87="Bengaluru",4,0)+IF($D87="Below 0.85",12,0)+IF($E87="woven",12,0)+IF($F87&gt;350,8,0)+IF($G87="Tier-3",10,0)+IF($G87="Tier-2",5,0)+IF($H87="COD",2,0)+IF($I87="festive",12,0)+IF($I87="monsoon",8,0)+IF(AND($I87="monsoon",$E87="woven"),10,0)+IF(AND($C87="Yes",$B87="Tirupur"),10,0)))</f>
        <v/>
      </c>
      <c r="K87" s="7">
        <f>IF($B87="","",MIN(100,15+IF($C87="Yes",10,0)+IF($B87="Tirupur",3,0)+IF($D87="Below 0.85",6,0)+IF($E87="woven",5,0)+IF($G87="Tier-3",14,0)+IF($G87="Tier-2",7,0)+IF($H87="COD",22,0)+IF($I87="festive",10,0)+IF($I87="monsoon",3,0)+IF(AND($I87="monsoon",$E87="woven"),3,0)+IF(AND($I87="festive",$H87="COD"),14,0)+IF(AND($C87="Yes",$B87="Tirupur"),2,0)+IF($J87&gt;=60,15,IF($J87&gt;=40,8,0))))</f>
        <v/>
      </c>
      <c r="L87" s="8">
        <f>IF($J87="","",IF($J87&lt;=35,"Low",IF($J87&lt;=65,"Medium","High")))</f>
        <v/>
      </c>
      <c r="M87" s="8">
        <f>IF($K87="","",IF($K87&lt;=35,"Low",IF($K87&lt;=65,"Medium","High")))</f>
        <v/>
      </c>
      <c r="N87" s="9">
        <f>IF($B87="","",IF(_xlfn.TEXTJOIN(", ",TRUE,IF($C87="Yes","New vendor",""),IF($B87="Tirupur","Tirupur cluster",""),IF($B87="Bengaluru","Bengaluru cluster",""),IF($D87="Below 0.85","Low vendor reliability",""),IF($E87="woven","Woven fabric",""),IF($F87&gt;350,"Large order (350+)",""),IF($G87="Tier-3","Tier-3 destination",""),IF($G87="Tier-2","Tier-2 destination",""),IF($H87="COD","COD payment",""),IF($I87="festive","Festive season",""),IF($I87="monsoon","Monsoon season",""))="","Baseline risk only",_xlfn.TEXTJOIN(", ",TRUE,IF($C87="Yes","New vendor",""),IF($B87="Tirupur","Tirupur cluster",""),IF($B87="Bengaluru","Bengaluru cluster",""),IF($D87="Below 0.85","Low vendor reliability",""),IF($E87="woven","Woven fabric",""),IF($F87&gt;350,"Large order (350+)",""),IF($G87="Tier-3","Tier-3 destination",""),IF($G87="Tier-2","Tier-2 destination",""),IF($H87="COD","COD payment",""),IF($I87="festive","Festive season",""),IF($I87="monsoon","Monsoon season",""))))</f>
        <v/>
      </c>
      <c r="O87" s="9">
        <f>IF($B87="","",IF(AND($L87="High",$M87="High"),"Escalate — high delay AND return risk: alternate vendor, add buffer, check sizing and payment",IF($L87="High","High delay risk — add a lead-time buffer or use a faster cluster",IF($M87="High","High return risk — tighten sizing guidance; consider a prepaid incentive",IF(OR($L87="Medium",$M87="Medium"),"Moderate risk — keep this order on the watch list","Low risk — no action needed")))))</f>
        <v/>
      </c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7">
        <f>IF($B88="","",MIN(100,10+IF($C88="Yes",22,0)+IF($B88="Tirupur",14,0)+IF($B88="Bengaluru",4,0)+IF($D88="Below 0.85",12,0)+IF($E88="woven",12,0)+IF($F88&gt;350,8,0)+IF($G88="Tier-3",10,0)+IF($G88="Tier-2",5,0)+IF($H88="COD",2,0)+IF($I88="festive",12,0)+IF($I88="monsoon",8,0)+IF(AND($I88="monsoon",$E88="woven"),10,0)+IF(AND($C88="Yes",$B88="Tirupur"),10,0)))</f>
        <v/>
      </c>
      <c r="K88" s="7">
        <f>IF($B88="","",MIN(100,15+IF($C88="Yes",10,0)+IF($B88="Tirupur",3,0)+IF($D88="Below 0.85",6,0)+IF($E88="woven",5,0)+IF($G88="Tier-3",14,0)+IF($G88="Tier-2",7,0)+IF($H88="COD",22,0)+IF($I88="festive",10,0)+IF($I88="monsoon",3,0)+IF(AND($I88="monsoon",$E88="woven"),3,0)+IF(AND($I88="festive",$H88="COD"),14,0)+IF(AND($C88="Yes",$B88="Tirupur"),2,0)+IF($J88&gt;=60,15,IF($J88&gt;=40,8,0))))</f>
        <v/>
      </c>
      <c r="L88" s="8">
        <f>IF($J88="","",IF($J88&lt;=35,"Low",IF($J88&lt;=65,"Medium","High")))</f>
        <v/>
      </c>
      <c r="M88" s="8">
        <f>IF($K88="","",IF($K88&lt;=35,"Low",IF($K88&lt;=65,"Medium","High")))</f>
        <v/>
      </c>
      <c r="N88" s="9">
        <f>IF($B88="","",IF(_xlfn.TEXTJOIN(", ",TRUE,IF($C88="Yes","New vendor",""),IF($B88="Tirupur","Tirupur cluster",""),IF($B88="Bengaluru","Bengaluru cluster",""),IF($D88="Below 0.85","Low vendor reliability",""),IF($E88="woven","Woven fabric",""),IF($F88&gt;350,"Large order (350+)",""),IF($G88="Tier-3","Tier-3 destination",""),IF($G88="Tier-2","Tier-2 destination",""),IF($H88="COD","COD payment",""),IF($I88="festive","Festive season",""),IF($I88="monsoon","Monsoon season",""))="","Baseline risk only",_xlfn.TEXTJOIN(", ",TRUE,IF($C88="Yes","New vendor",""),IF($B88="Tirupur","Tirupur cluster",""),IF($B88="Bengaluru","Bengaluru cluster",""),IF($D88="Below 0.85","Low vendor reliability",""),IF($E88="woven","Woven fabric",""),IF($F88&gt;350,"Large order (350+)",""),IF($G88="Tier-3","Tier-3 destination",""),IF($G88="Tier-2","Tier-2 destination",""),IF($H88="COD","COD payment",""),IF($I88="festive","Festive season",""),IF($I88="monsoon","Monsoon season",""))))</f>
        <v/>
      </c>
      <c r="O88" s="9">
        <f>IF($B88="","",IF(AND($L88="High",$M88="High"),"Escalate — high delay AND return risk: alternate vendor, add buffer, check sizing and payment",IF($L88="High","High delay risk — add a lead-time buffer or use a faster cluster",IF($M88="High","High return risk — tighten sizing guidance; consider a prepaid incentive",IF(OR($L88="Medium",$M88="Medium"),"Moderate risk — keep this order on the watch list","Low risk — no action needed")))))</f>
        <v/>
      </c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7">
        <f>IF($B89="","",MIN(100,10+IF($C89="Yes",22,0)+IF($B89="Tirupur",14,0)+IF($B89="Bengaluru",4,0)+IF($D89="Below 0.85",12,0)+IF($E89="woven",12,0)+IF($F89&gt;350,8,0)+IF($G89="Tier-3",10,0)+IF($G89="Tier-2",5,0)+IF($H89="COD",2,0)+IF($I89="festive",12,0)+IF($I89="monsoon",8,0)+IF(AND($I89="monsoon",$E89="woven"),10,0)+IF(AND($C89="Yes",$B89="Tirupur"),10,0)))</f>
        <v/>
      </c>
      <c r="K89" s="7">
        <f>IF($B89="","",MIN(100,15+IF($C89="Yes",10,0)+IF($B89="Tirupur",3,0)+IF($D89="Below 0.85",6,0)+IF($E89="woven",5,0)+IF($G89="Tier-3",14,0)+IF($G89="Tier-2",7,0)+IF($H89="COD",22,0)+IF($I89="festive",10,0)+IF($I89="monsoon",3,0)+IF(AND($I89="monsoon",$E89="woven"),3,0)+IF(AND($I89="festive",$H89="COD"),14,0)+IF(AND($C89="Yes",$B89="Tirupur"),2,0)+IF($J89&gt;=60,15,IF($J89&gt;=40,8,0))))</f>
        <v/>
      </c>
      <c r="L89" s="8">
        <f>IF($J89="","",IF($J89&lt;=35,"Low",IF($J89&lt;=65,"Medium","High")))</f>
        <v/>
      </c>
      <c r="M89" s="8">
        <f>IF($K89="","",IF($K89&lt;=35,"Low",IF($K89&lt;=65,"Medium","High")))</f>
        <v/>
      </c>
      <c r="N89" s="9">
        <f>IF($B89="","",IF(_xlfn.TEXTJOIN(", ",TRUE,IF($C89="Yes","New vendor",""),IF($B89="Tirupur","Tirupur cluster",""),IF($B89="Bengaluru","Bengaluru cluster",""),IF($D89="Below 0.85","Low vendor reliability",""),IF($E89="woven","Woven fabric",""),IF($F89&gt;350,"Large order (350+)",""),IF($G89="Tier-3","Tier-3 destination",""),IF($G89="Tier-2","Tier-2 destination",""),IF($H89="COD","COD payment",""),IF($I89="festive","Festive season",""),IF($I89="monsoon","Monsoon season",""))="","Baseline risk only",_xlfn.TEXTJOIN(", ",TRUE,IF($C89="Yes","New vendor",""),IF($B89="Tirupur","Tirupur cluster",""),IF($B89="Bengaluru","Bengaluru cluster",""),IF($D89="Below 0.85","Low vendor reliability",""),IF($E89="woven","Woven fabric",""),IF($F89&gt;350,"Large order (350+)",""),IF($G89="Tier-3","Tier-3 destination",""),IF($G89="Tier-2","Tier-2 destination",""),IF($H89="COD","COD payment",""),IF($I89="festive","Festive season",""),IF($I89="monsoon","Monsoon season",""))))</f>
        <v/>
      </c>
      <c r="O89" s="9">
        <f>IF($B89="","",IF(AND($L89="High",$M89="High"),"Escalate — high delay AND return risk: alternate vendor, add buffer, check sizing and payment",IF($L89="High","High delay risk — add a lead-time buffer or use a faster cluster",IF($M89="High","High return risk — tighten sizing guidance; consider a prepaid incentive",IF(OR($L89="Medium",$M89="Medium"),"Moderate risk — keep this order on the watch list","Low risk — no action needed")))))</f>
        <v/>
      </c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7">
        <f>IF($B90="","",MIN(100,10+IF($C90="Yes",22,0)+IF($B90="Tirupur",14,0)+IF($B90="Bengaluru",4,0)+IF($D90="Below 0.85",12,0)+IF($E90="woven",12,0)+IF($F90&gt;350,8,0)+IF($G90="Tier-3",10,0)+IF($G90="Tier-2",5,0)+IF($H90="COD",2,0)+IF($I90="festive",12,0)+IF($I90="monsoon",8,0)+IF(AND($I90="monsoon",$E90="woven"),10,0)+IF(AND($C90="Yes",$B90="Tirupur"),10,0)))</f>
        <v/>
      </c>
      <c r="K90" s="7">
        <f>IF($B90="","",MIN(100,15+IF($C90="Yes",10,0)+IF($B90="Tirupur",3,0)+IF($D90="Below 0.85",6,0)+IF($E90="woven",5,0)+IF($G90="Tier-3",14,0)+IF($G90="Tier-2",7,0)+IF($H90="COD",22,0)+IF($I90="festive",10,0)+IF($I90="monsoon",3,0)+IF(AND($I90="monsoon",$E90="woven"),3,0)+IF(AND($I90="festive",$H90="COD"),14,0)+IF(AND($C90="Yes",$B90="Tirupur"),2,0)+IF($J90&gt;=60,15,IF($J90&gt;=40,8,0))))</f>
        <v/>
      </c>
      <c r="L90" s="8">
        <f>IF($J90="","",IF($J90&lt;=35,"Low",IF($J90&lt;=65,"Medium","High")))</f>
        <v/>
      </c>
      <c r="M90" s="8">
        <f>IF($K90="","",IF($K90&lt;=35,"Low",IF($K90&lt;=65,"Medium","High")))</f>
        <v/>
      </c>
      <c r="N90" s="9">
        <f>IF($B90="","",IF(_xlfn.TEXTJOIN(", ",TRUE,IF($C90="Yes","New vendor",""),IF($B90="Tirupur","Tirupur cluster",""),IF($B90="Bengaluru","Bengaluru cluster",""),IF($D90="Below 0.85","Low vendor reliability",""),IF($E90="woven","Woven fabric",""),IF($F90&gt;350,"Large order (350+)",""),IF($G90="Tier-3","Tier-3 destination",""),IF($G90="Tier-2","Tier-2 destination",""),IF($H90="COD","COD payment",""),IF($I90="festive","Festive season",""),IF($I90="monsoon","Monsoon season",""))="","Baseline risk only",_xlfn.TEXTJOIN(", ",TRUE,IF($C90="Yes","New vendor",""),IF($B90="Tirupur","Tirupur cluster",""),IF($B90="Bengaluru","Bengaluru cluster",""),IF($D90="Below 0.85","Low vendor reliability",""),IF($E90="woven","Woven fabric",""),IF($F90&gt;350,"Large order (350+)",""),IF($G90="Tier-3","Tier-3 destination",""),IF($G90="Tier-2","Tier-2 destination",""),IF($H90="COD","COD payment",""),IF($I90="festive","Festive season",""),IF($I90="monsoon","Monsoon season",""))))</f>
        <v/>
      </c>
      <c r="O90" s="9">
        <f>IF($B90="","",IF(AND($L90="High",$M90="High"),"Escalate — high delay AND return risk: alternate vendor, add buffer, check sizing and payment",IF($L90="High","High delay risk — add a lead-time buffer or use a faster cluster",IF($M90="High","High return risk — tighten sizing guidance; consider a prepaid incentive",IF(OR($L90="Medium",$M90="Medium"),"Moderate risk — keep this order on the watch list","Low risk — no action needed")))))</f>
        <v/>
      </c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7">
        <f>IF($B91="","",MIN(100,10+IF($C91="Yes",22,0)+IF($B91="Tirupur",14,0)+IF($B91="Bengaluru",4,0)+IF($D91="Below 0.85",12,0)+IF($E91="woven",12,0)+IF($F91&gt;350,8,0)+IF($G91="Tier-3",10,0)+IF($G91="Tier-2",5,0)+IF($H91="COD",2,0)+IF($I91="festive",12,0)+IF($I91="monsoon",8,0)+IF(AND($I91="monsoon",$E91="woven"),10,0)+IF(AND($C91="Yes",$B91="Tirupur"),10,0)))</f>
        <v/>
      </c>
      <c r="K91" s="7">
        <f>IF($B91="","",MIN(100,15+IF($C91="Yes",10,0)+IF($B91="Tirupur",3,0)+IF($D91="Below 0.85",6,0)+IF($E91="woven",5,0)+IF($G91="Tier-3",14,0)+IF($G91="Tier-2",7,0)+IF($H91="COD",22,0)+IF($I91="festive",10,0)+IF($I91="monsoon",3,0)+IF(AND($I91="monsoon",$E91="woven"),3,0)+IF(AND($I91="festive",$H91="COD"),14,0)+IF(AND($C91="Yes",$B91="Tirupur"),2,0)+IF($J91&gt;=60,15,IF($J91&gt;=40,8,0))))</f>
        <v/>
      </c>
      <c r="L91" s="8">
        <f>IF($J91="","",IF($J91&lt;=35,"Low",IF($J91&lt;=65,"Medium","High")))</f>
        <v/>
      </c>
      <c r="M91" s="8">
        <f>IF($K91="","",IF($K91&lt;=35,"Low",IF($K91&lt;=65,"Medium","High")))</f>
        <v/>
      </c>
      <c r="N91" s="9">
        <f>IF($B91="","",IF(_xlfn.TEXTJOIN(", ",TRUE,IF($C91="Yes","New vendor",""),IF($B91="Tirupur","Tirupur cluster",""),IF($B91="Bengaluru","Bengaluru cluster",""),IF($D91="Below 0.85","Low vendor reliability",""),IF($E91="woven","Woven fabric",""),IF($F91&gt;350,"Large order (350+)",""),IF($G91="Tier-3","Tier-3 destination",""),IF($G91="Tier-2","Tier-2 destination",""),IF($H91="COD","COD payment",""),IF($I91="festive","Festive season",""),IF($I91="monsoon","Monsoon season",""))="","Baseline risk only",_xlfn.TEXTJOIN(", ",TRUE,IF($C91="Yes","New vendor",""),IF($B91="Tirupur","Tirupur cluster",""),IF($B91="Bengaluru","Bengaluru cluster",""),IF($D91="Below 0.85","Low vendor reliability",""),IF($E91="woven","Woven fabric",""),IF($F91&gt;350,"Large order (350+)",""),IF($G91="Tier-3","Tier-3 destination",""),IF($G91="Tier-2","Tier-2 destination",""),IF($H91="COD","COD payment",""),IF($I91="festive","Festive season",""),IF($I91="monsoon","Monsoon season",""))))</f>
        <v/>
      </c>
      <c r="O91" s="9">
        <f>IF($B91="","",IF(AND($L91="High",$M91="High"),"Escalate — high delay AND return risk: alternate vendor, add buffer, check sizing and payment",IF($L91="High","High delay risk — add a lead-time buffer or use a faster cluster",IF($M91="High","High return risk — tighten sizing guidance; consider a prepaid incentive",IF(OR($L91="Medium",$M91="Medium"),"Moderate risk — keep this order on the watch list","Low risk — no action needed")))))</f>
        <v/>
      </c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7">
        <f>IF($B92="","",MIN(100,10+IF($C92="Yes",22,0)+IF($B92="Tirupur",14,0)+IF($B92="Bengaluru",4,0)+IF($D92="Below 0.85",12,0)+IF($E92="woven",12,0)+IF($F92&gt;350,8,0)+IF($G92="Tier-3",10,0)+IF($G92="Tier-2",5,0)+IF($H92="COD",2,0)+IF($I92="festive",12,0)+IF($I92="monsoon",8,0)+IF(AND($I92="monsoon",$E92="woven"),10,0)+IF(AND($C92="Yes",$B92="Tirupur"),10,0)))</f>
        <v/>
      </c>
      <c r="K92" s="7">
        <f>IF($B92="","",MIN(100,15+IF($C92="Yes",10,0)+IF($B92="Tirupur",3,0)+IF($D92="Below 0.85",6,0)+IF($E92="woven",5,0)+IF($G92="Tier-3",14,0)+IF($G92="Tier-2",7,0)+IF($H92="COD",22,0)+IF($I92="festive",10,0)+IF($I92="monsoon",3,0)+IF(AND($I92="monsoon",$E92="woven"),3,0)+IF(AND($I92="festive",$H92="COD"),14,0)+IF(AND($C92="Yes",$B92="Tirupur"),2,0)+IF($J92&gt;=60,15,IF($J92&gt;=40,8,0))))</f>
        <v/>
      </c>
      <c r="L92" s="8">
        <f>IF($J92="","",IF($J92&lt;=35,"Low",IF($J92&lt;=65,"Medium","High")))</f>
        <v/>
      </c>
      <c r="M92" s="8">
        <f>IF($K92="","",IF($K92&lt;=35,"Low",IF($K92&lt;=65,"Medium","High")))</f>
        <v/>
      </c>
      <c r="N92" s="9">
        <f>IF($B92="","",IF(_xlfn.TEXTJOIN(", ",TRUE,IF($C92="Yes","New vendor",""),IF($B92="Tirupur","Tirupur cluster",""),IF($B92="Bengaluru","Bengaluru cluster",""),IF($D92="Below 0.85","Low vendor reliability",""),IF($E92="woven","Woven fabric",""),IF($F92&gt;350,"Large order (350+)",""),IF($G92="Tier-3","Tier-3 destination",""),IF($G92="Tier-2","Tier-2 destination",""),IF($H92="COD","COD payment",""),IF($I92="festive","Festive season",""),IF($I92="monsoon","Monsoon season",""))="","Baseline risk only",_xlfn.TEXTJOIN(", ",TRUE,IF($C92="Yes","New vendor",""),IF($B92="Tirupur","Tirupur cluster",""),IF($B92="Bengaluru","Bengaluru cluster",""),IF($D92="Below 0.85","Low vendor reliability",""),IF($E92="woven","Woven fabric",""),IF($F92&gt;350,"Large order (350+)",""),IF($G92="Tier-3","Tier-3 destination",""),IF($G92="Tier-2","Tier-2 destination",""),IF($H92="COD","COD payment",""),IF($I92="festive","Festive season",""),IF($I92="monsoon","Monsoon season",""))))</f>
        <v/>
      </c>
      <c r="O92" s="9">
        <f>IF($B92="","",IF(AND($L92="High",$M92="High"),"Escalate — high delay AND return risk: alternate vendor, add buffer, check sizing and payment",IF($L92="High","High delay risk — add a lead-time buffer or use a faster cluster",IF($M92="High","High return risk — tighten sizing guidance; consider a prepaid incentive",IF(OR($L92="Medium",$M92="Medium"),"Moderate risk — keep this order on the watch list","Low risk — no action needed")))))</f>
        <v/>
      </c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7">
        <f>IF($B93="","",MIN(100,10+IF($C93="Yes",22,0)+IF($B93="Tirupur",14,0)+IF($B93="Bengaluru",4,0)+IF($D93="Below 0.85",12,0)+IF($E93="woven",12,0)+IF($F93&gt;350,8,0)+IF($G93="Tier-3",10,0)+IF($G93="Tier-2",5,0)+IF($H93="COD",2,0)+IF($I93="festive",12,0)+IF($I93="monsoon",8,0)+IF(AND($I93="monsoon",$E93="woven"),10,0)+IF(AND($C93="Yes",$B93="Tirupur"),10,0)))</f>
        <v/>
      </c>
      <c r="K93" s="7">
        <f>IF($B93="","",MIN(100,15+IF($C93="Yes",10,0)+IF($B93="Tirupur",3,0)+IF($D93="Below 0.85",6,0)+IF($E93="woven",5,0)+IF($G93="Tier-3",14,0)+IF($G93="Tier-2",7,0)+IF($H93="COD",22,0)+IF($I93="festive",10,0)+IF($I93="monsoon",3,0)+IF(AND($I93="monsoon",$E93="woven"),3,0)+IF(AND($I93="festive",$H93="COD"),14,0)+IF(AND($C93="Yes",$B93="Tirupur"),2,0)+IF($J93&gt;=60,15,IF($J93&gt;=40,8,0))))</f>
        <v/>
      </c>
      <c r="L93" s="8">
        <f>IF($J93="","",IF($J93&lt;=35,"Low",IF($J93&lt;=65,"Medium","High")))</f>
        <v/>
      </c>
      <c r="M93" s="8">
        <f>IF($K93="","",IF($K93&lt;=35,"Low",IF($K93&lt;=65,"Medium","High")))</f>
        <v/>
      </c>
      <c r="N93" s="9">
        <f>IF($B93="","",IF(_xlfn.TEXTJOIN(", ",TRUE,IF($C93="Yes","New vendor",""),IF($B93="Tirupur","Tirupur cluster",""),IF($B93="Bengaluru","Bengaluru cluster",""),IF($D93="Below 0.85","Low vendor reliability",""),IF($E93="woven","Woven fabric",""),IF($F93&gt;350,"Large order (350+)",""),IF($G93="Tier-3","Tier-3 destination",""),IF($G93="Tier-2","Tier-2 destination",""),IF($H93="COD","COD payment",""),IF($I93="festive","Festive season",""),IF($I93="monsoon","Monsoon season",""))="","Baseline risk only",_xlfn.TEXTJOIN(", ",TRUE,IF($C93="Yes","New vendor",""),IF($B93="Tirupur","Tirupur cluster",""),IF($B93="Bengaluru","Bengaluru cluster",""),IF($D93="Below 0.85","Low vendor reliability",""),IF($E93="woven","Woven fabric",""),IF($F93&gt;350,"Large order (350+)",""),IF($G93="Tier-3","Tier-3 destination",""),IF($G93="Tier-2","Tier-2 destination",""),IF($H93="COD","COD payment",""),IF($I93="festive","Festive season",""),IF($I93="monsoon","Monsoon season",""))))</f>
        <v/>
      </c>
      <c r="O93" s="9">
        <f>IF($B93="","",IF(AND($L93="High",$M93="High"),"Escalate — high delay AND return risk: alternate vendor, add buffer, check sizing and payment",IF($L93="High","High delay risk — add a lead-time buffer or use a faster cluster",IF($M93="High","High return risk — tighten sizing guidance; consider a prepaid incentive",IF(OR($L93="Medium",$M93="Medium"),"Moderate risk — keep this order on the watch list","Low risk — no action needed")))))</f>
        <v/>
      </c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7">
        <f>IF($B94="","",MIN(100,10+IF($C94="Yes",22,0)+IF($B94="Tirupur",14,0)+IF($B94="Bengaluru",4,0)+IF($D94="Below 0.85",12,0)+IF($E94="woven",12,0)+IF($F94&gt;350,8,0)+IF($G94="Tier-3",10,0)+IF($G94="Tier-2",5,0)+IF($H94="COD",2,0)+IF($I94="festive",12,0)+IF($I94="monsoon",8,0)+IF(AND($I94="monsoon",$E94="woven"),10,0)+IF(AND($C94="Yes",$B94="Tirupur"),10,0)))</f>
        <v/>
      </c>
      <c r="K94" s="7">
        <f>IF($B94="","",MIN(100,15+IF($C94="Yes",10,0)+IF($B94="Tirupur",3,0)+IF($D94="Below 0.85",6,0)+IF($E94="woven",5,0)+IF($G94="Tier-3",14,0)+IF($G94="Tier-2",7,0)+IF($H94="COD",22,0)+IF($I94="festive",10,0)+IF($I94="monsoon",3,0)+IF(AND($I94="monsoon",$E94="woven"),3,0)+IF(AND($I94="festive",$H94="COD"),14,0)+IF(AND($C94="Yes",$B94="Tirupur"),2,0)+IF($J94&gt;=60,15,IF($J94&gt;=40,8,0))))</f>
        <v/>
      </c>
      <c r="L94" s="8">
        <f>IF($J94="","",IF($J94&lt;=35,"Low",IF($J94&lt;=65,"Medium","High")))</f>
        <v/>
      </c>
      <c r="M94" s="8">
        <f>IF($K94="","",IF($K94&lt;=35,"Low",IF($K94&lt;=65,"Medium","High")))</f>
        <v/>
      </c>
      <c r="N94" s="9">
        <f>IF($B94="","",IF(_xlfn.TEXTJOIN(", ",TRUE,IF($C94="Yes","New vendor",""),IF($B94="Tirupur","Tirupur cluster",""),IF($B94="Bengaluru","Bengaluru cluster",""),IF($D94="Below 0.85","Low vendor reliability",""),IF($E94="woven","Woven fabric",""),IF($F94&gt;350,"Large order (350+)",""),IF($G94="Tier-3","Tier-3 destination",""),IF($G94="Tier-2","Tier-2 destination",""),IF($H94="COD","COD payment",""),IF($I94="festive","Festive season",""),IF($I94="monsoon","Monsoon season",""))="","Baseline risk only",_xlfn.TEXTJOIN(", ",TRUE,IF($C94="Yes","New vendor",""),IF($B94="Tirupur","Tirupur cluster",""),IF($B94="Bengaluru","Bengaluru cluster",""),IF($D94="Below 0.85","Low vendor reliability",""),IF($E94="woven","Woven fabric",""),IF($F94&gt;350,"Large order (350+)",""),IF($G94="Tier-3","Tier-3 destination",""),IF($G94="Tier-2","Tier-2 destination",""),IF($H94="COD","COD payment",""),IF($I94="festive","Festive season",""),IF($I94="monsoon","Monsoon season",""))))</f>
        <v/>
      </c>
      <c r="O94" s="9">
        <f>IF($B94="","",IF(AND($L94="High",$M94="High"),"Escalate — high delay AND return risk: alternate vendor, add buffer, check sizing and payment",IF($L94="High","High delay risk — add a lead-time buffer or use a faster cluster",IF($M94="High","High return risk — tighten sizing guidance; consider a prepaid incentive",IF(OR($L94="Medium",$M94="Medium"),"Moderate risk — keep this order on the watch list","Low risk — no action needed")))))</f>
        <v/>
      </c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7">
        <f>IF($B95="","",MIN(100,10+IF($C95="Yes",22,0)+IF($B95="Tirupur",14,0)+IF($B95="Bengaluru",4,0)+IF($D95="Below 0.85",12,0)+IF($E95="woven",12,0)+IF($F95&gt;350,8,0)+IF($G95="Tier-3",10,0)+IF($G95="Tier-2",5,0)+IF($H95="COD",2,0)+IF($I95="festive",12,0)+IF($I95="monsoon",8,0)+IF(AND($I95="monsoon",$E95="woven"),10,0)+IF(AND($C95="Yes",$B95="Tirupur"),10,0)))</f>
        <v/>
      </c>
      <c r="K95" s="7">
        <f>IF($B95="","",MIN(100,15+IF($C95="Yes",10,0)+IF($B95="Tirupur",3,0)+IF($D95="Below 0.85",6,0)+IF($E95="woven",5,0)+IF($G95="Tier-3",14,0)+IF($G95="Tier-2",7,0)+IF($H95="COD",22,0)+IF($I95="festive",10,0)+IF($I95="monsoon",3,0)+IF(AND($I95="monsoon",$E95="woven"),3,0)+IF(AND($I95="festive",$H95="COD"),14,0)+IF(AND($C95="Yes",$B95="Tirupur"),2,0)+IF($J95&gt;=60,15,IF($J95&gt;=40,8,0))))</f>
        <v/>
      </c>
      <c r="L95" s="8">
        <f>IF($J95="","",IF($J95&lt;=35,"Low",IF($J95&lt;=65,"Medium","High")))</f>
        <v/>
      </c>
      <c r="M95" s="8">
        <f>IF($K95="","",IF($K95&lt;=35,"Low",IF($K95&lt;=65,"Medium","High")))</f>
        <v/>
      </c>
      <c r="N95" s="9">
        <f>IF($B95="","",IF(_xlfn.TEXTJOIN(", ",TRUE,IF($C95="Yes","New vendor",""),IF($B95="Tirupur","Tirupur cluster",""),IF($B95="Bengaluru","Bengaluru cluster",""),IF($D95="Below 0.85","Low vendor reliability",""),IF($E95="woven","Woven fabric",""),IF($F95&gt;350,"Large order (350+)",""),IF($G95="Tier-3","Tier-3 destination",""),IF($G95="Tier-2","Tier-2 destination",""),IF($H95="COD","COD payment",""),IF($I95="festive","Festive season",""),IF($I95="monsoon","Monsoon season",""))="","Baseline risk only",_xlfn.TEXTJOIN(", ",TRUE,IF($C95="Yes","New vendor",""),IF($B95="Tirupur","Tirupur cluster",""),IF($B95="Bengaluru","Bengaluru cluster",""),IF($D95="Below 0.85","Low vendor reliability",""),IF($E95="woven","Woven fabric",""),IF($F95&gt;350,"Large order (350+)",""),IF($G95="Tier-3","Tier-3 destination",""),IF($G95="Tier-2","Tier-2 destination",""),IF($H95="COD","COD payment",""),IF($I95="festive","Festive season",""),IF($I95="monsoon","Monsoon season",""))))</f>
        <v/>
      </c>
      <c r="O95" s="9">
        <f>IF($B95="","",IF(AND($L95="High",$M95="High"),"Escalate — high delay AND return risk: alternate vendor, add buffer, check sizing and payment",IF($L95="High","High delay risk — add a lead-time buffer or use a faster cluster",IF($M95="High","High return risk — tighten sizing guidance; consider a prepaid incentive",IF(OR($L95="Medium",$M95="Medium"),"Moderate risk — keep this order on the watch list","Low risk — no action needed")))))</f>
        <v/>
      </c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7">
        <f>IF($B96="","",MIN(100,10+IF($C96="Yes",22,0)+IF($B96="Tirupur",14,0)+IF($B96="Bengaluru",4,0)+IF($D96="Below 0.85",12,0)+IF($E96="woven",12,0)+IF($F96&gt;350,8,0)+IF($G96="Tier-3",10,0)+IF($G96="Tier-2",5,0)+IF($H96="COD",2,0)+IF($I96="festive",12,0)+IF($I96="monsoon",8,0)+IF(AND($I96="monsoon",$E96="woven"),10,0)+IF(AND($C96="Yes",$B96="Tirupur"),10,0)))</f>
        <v/>
      </c>
      <c r="K96" s="7">
        <f>IF($B96="","",MIN(100,15+IF($C96="Yes",10,0)+IF($B96="Tirupur",3,0)+IF($D96="Below 0.85",6,0)+IF($E96="woven",5,0)+IF($G96="Tier-3",14,0)+IF($G96="Tier-2",7,0)+IF($H96="COD",22,0)+IF($I96="festive",10,0)+IF($I96="monsoon",3,0)+IF(AND($I96="monsoon",$E96="woven"),3,0)+IF(AND($I96="festive",$H96="COD"),14,0)+IF(AND($C96="Yes",$B96="Tirupur"),2,0)+IF($J96&gt;=60,15,IF($J96&gt;=40,8,0))))</f>
        <v/>
      </c>
      <c r="L96" s="8">
        <f>IF($J96="","",IF($J96&lt;=35,"Low",IF($J96&lt;=65,"Medium","High")))</f>
        <v/>
      </c>
      <c r="M96" s="8">
        <f>IF($K96="","",IF($K96&lt;=35,"Low",IF($K96&lt;=65,"Medium","High")))</f>
        <v/>
      </c>
      <c r="N96" s="9">
        <f>IF($B96="","",IF(_xlfn.TEXTJOIN(", ",TRUE,IF($C96="Yes","New vendor",""),IF($B96="Tirupur","Tirupur cluster",""),IF($B96="Bengaluru","Bengaluru cluster",""),IF($D96="Below 0.85","Low vendor reliability",""),IF($E96="woven","Woven fabric",""),IF($F96&gt;350,"Large order (350+)",""),IF($G96="Tier-3","Tier-3 destination",""),IF($G96="Tier-2","Tier-2 destination",""),IF($H96="COD","COD payment",""),IF($I96="festive","Festive season",""),IF($I96="monsoon","Monsoon season",""))="","Baseline risk only",_xlfn.TEXTJOIN(", ",TRUE,IF($C96="Yes","New vendor",""),IF($B96="Tirupur","Tirupur cluster",""),IF($B96="Bengaluru","Bengaluru cluster",""),IF($D96="Below 0.85","Low vendor reliability",""),IF($E96="woven","Woven fabric",""),IF($F96&gt;350,"Large order (350+)",""),IF($G96="Tier-3","Tier-3 destination",""),IF($G96="Tier-2","Tier-2 destination",""),IF($H96="COD","COD payment",""),IF($I96="festive","Festive season",""),IF($I96="monsoon","Monsoon season",""))))</f>
        <v/>
      </c>
      <c r="O96" s="9">
        <f>IF($B96="","",IF(AND($L96="High",$M96="High"),"Escalate — high delay AND return risk: alternate vendor, add buffer, check sizing and payment",IF($L96="High","High delay risk — add a lead-time buffer or use a faster cluster",IF($M96="High","High return risk — tighten sizing guidance; consider a prepaid incentive",IF(OR($L96="Medium",$M96="Medium"),"Moderate risk — keep this order on the watch list","Low risk — no action needed")))))</f>
        <v/>
      </c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7">
        <f>IF($B97="","",MIN(100,10+IF($C97="Yes",22,0)+IF($B97="Tirupur",14,0)+IF($B97="Bengaluru",4,0)+IF($D97="Below 0.85",12,0)+IF($E97="woven",12,0)+IF($F97&gt;350,8,0)+IF($G97="Tier-3",10,0)+IF($G97="Tier-2",5,0)+IF($H97="COD",2,0)+IF($I97="festive",12,0)+IF($I97="monsoon",8,0)+IF(AND($I97="monsoon",$E97="woven"),10,0)+IF(AND($C97="Yes",$B97="Tirupur"),10,0)))</f>
        <v/>
      </c>
      <c r="K97" s="7">
        <f>IF($B97="","",MIN(100,15+IF($C97="Yes",10,0)+IF($B97="Tirupur",3,0)+IF($D97="Below 0.85",6,0)+IF($E97="woven",5,0)+IF($G97="Tier-3",14,0)+IF($G97="Tier-2",7,0)+IF($H97="COD",22,0)+IF($I97="festive",10,0)+IF($I97="monsoon",3,0)+IF(AND($I97="monsoon",$E97="woven"),3,0)+IF(AND($I97="festive",$H97="COD"),14,0)+IF(AND($C97="Yes",$B97="Tirupur"),2,0)+IF($J97&gt;=60,15,IF($J97&gt;=40,8,0))))</f>
        <v/>
      </c>
      <c r="L97" s="8">
        <f>IF($J97="","",IF($J97&lt;=35,"Low",IF($J97&lt;=65,"Medium","High")))</f>
        <v/>
      </c>
      <c r="M97" s="8">
        <f>IF($K97="","",IF($K97&lt;=35,"Low",IF($K97&lt;=65,"Medium","High")))</f>
        <v/>
      </c>
      <c r="N97" s="9">
        <f>IF($B97="","",IF(_xlfn.TEXTJOIN(", ",TRUE,IF($C97="Yes","New vendor",""),IF($B97="Tirupur","Tirupur cluster",""),IF($B97="Bengaluru","Bengaluru cluster",""),IF($D97="Below 0.85","Low vendor reliability",""),IF($E97="woven","Woven fabric",""),IF($F97&gt;350,"Large order (350+)",""),IF($G97="Tier-3","Tier-3 destination",""),IF($G97="Tier-2","Tier-2 destination",""),IF($H97="COD","COD payment",""),IF($I97="festive","Festive season",""),IF($I97="monsoon","Monsoon season",""))="","Baseline risk only",_xlfn.TEXTJOIN(", ",TRUE,IF($C97="Yes","New vendor",""),IF($B97="Tirupur","Tirupur cluster",""),IF($B97="Bengaluru","Bengaluru cluster",""),IF($D97="Below 0.85","Low vendor reliability",""),IF($E97="woven","Woven fabric",""),IF($F97&gt;350,"Large order (350+)",""),IF($G97="Tier-3","Tier-3 destination",""),IF($G97="Tier-2","Tier-2 destination",""),IF($H97="COD","COD payment",""),IF($I97="festive","Festive season",""),IF($I97="monsoon","Monsoon season",""))))</f>
        <v/>
      </c>
      <c r="O97" s="9">
        <f>IF($B97="","",IF(AND($L97="High",$M97="High"),"Escalate — high delay AND return risk: alternate vendor, add buffer, check sizing and payment",IF($L97="High","High delay risk — add a lead-time buffer or use a faster cluster",IF($M97="High","High return risk — tighten sizing guidance; consider a prepaid incentive",IF(OR($L97="Medium",$M97="Medium"),"Moderate risk — keep this order on the watch list","Low risk — no action needed")))))</f>
        <v/>
      </c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7">
        <f>IF($B98="","",MIN(100,10+IF($C98="Yes",22,0)+IF($B98="Tirupur",14,0)+IF($B98="Bengaluru",4,0)+IF($D98="Below 0.85",12,0)+IF($E98="woven",12,0)+IF($F98&gt;350,8,0)+IF($G98="Tier-3",10,0)+IF($G98="Tier-2",5,0)+IF($H98="COD",2,0)+IF($I98="festive",12,0)+IF($I98="monsoon",8,0)+IF(AND($I98="monsoon",$E98="woven"),10,0)+IF(AND($C98="Yes",$B98="Tirupur"),10,0)))</f>
        <v/>
      </c>
      <c r="K98" s="7">
        <f>IF($B98="","",MIN(100,15+IF($C98="Yes",10,0)+IF($B98="Tirupur",3,0)+IF($D98="Below 0.85",6,0)+IF($E98="woven",5,0)+IF($G98="Tier-3",14,0)+IF($G98="Tier-2",7,0)+IF($H98="COD",22,0)+IF($I98="festive",10,0)+IF($I98="monsoon",3,0)+IF(AND($I98="monsoon",$E98="woven"),3,0)+IF(AND($I98="festive",$H98="COD"),14,0)+IF(AND($C98="Yes",$B98="Tirupur"),2,0)+IF($J98&gt;=60,15,IF($J98&gt;=40,8,0))))</f>
        <v/>
      </c>
      <c r="L98" s="8">
        <f>IF($J98="","",IF($J98&lt;=35,"Low",IF($J98&lt;=65,"Medium","High")))</f>
        <v/>
      </c>
      <c r="M98" s="8">
        <f>IF($K98="","",IF($K98&lt;=35,"Low",IF($K98&lt;=65,"Medium","High")))</f>
        <v/>
      </c>
      <c r="N98" s="9">
        <f>IF($B98="","",IF(_xlfn.TEXTJOIN(", ",TRUE,IF($C98="Yes","New vendor",""),IF($B98="Tirupur","Tirupur cluster",""),IF($B98="Bengaluru","Bengaluru cluster",""),IF($D98="Below 0.85","Low vendor reliability",""),IF($E98="woven","Woven fabric",""),IF($F98&gt;350,"Large order (350+)",""),IF($G98="Tier-3","Tier-3 destination",""),IF($G98="Tier-2","Tier-2 destination",""),IF($H98="COD","COD payment",""),IF($I98="festive","Festive season",""),IF($I98="monsoon","Monsoon season",""))="","Baseline risk only",_xlfn.TEXTJOIN(", ",TRUE,IF($C98="Yes","New vendor",""),IF($B98="Tirupur","Tirupur cluster",""),IF($B98="Bengaluru","Bengaluru cluster",""),IF($D98="Below 0.85","Low vendor reliability",""),IF($E98="woven","Woven fabric",""),IF($F98&gt;350,"Large order (350+)",""),IF($G98="Tier-3","Tier-3 destination",""),IF($G98="Tier-2","Tier-2 destination",""),IF($H98="COD","COD payment",""),IF($I98="festive","Festive season",""),IF($I98="monsoon","Monsoon season",""))))</f>
        <v/>
      </c>
      <c r="O98" s="9">
        <f>IF($B98="","",IF(AND($L98="High",$M98="High"),"Escalate — high delay AND return risk: alternate vendor, add buffer, check sizing and payment",IF($L98="High","High delay risk — add a lead-time buffer or use a faster cluster",IF($M98="High","High return risk — tighten sizing guidance; consider a prepaid incentive",IF(OR($L98="Medium",$M98="Medium"),"Moderate risk — keep this order on the watch list","Low risk — no action needed")))))</f>
        <v/>
      </c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7">
        <f>IF($B99="","",MIN(100,10+IF($C99="Yes",22,0)+IF($B99="Tirupur",14,0)+IF($B99="Bengaluru",4,0)+IF($D99="Below 0.85",12,0)+IF($E99="woven",12,0)+IF($F99&gt;350,8,0)+IF($G99="Tier-3",10,0)+IF($G99="Tier-2",5,0)+IF($H99="COD",2,0)+IF($I99="festive",12,0)+IF($I99="monsoon",8,0)+IF(AND($I99="monsoon",$E99="woven"),10,0)+IF(AND($C99="Yes",$B99="Tirupur"),10,0)))</f>
        <v/>
      </c>
      <c r="K99" s="7">
        <f>IF($B99="","",MIN(100,15+IF($C99="Yes",10,0)+IF($B99="Tirupur",3,0)+IF($D99="Below 0.85",6,0)+IF($E99="woven",5,0)+IF($G99="Tier-3",14,0)+IF($G99="Tier-2",7,0)+IF($H99="COD",22,0)+IF($I99="festive",10,0)+IF($I99="monsoon",3,0)+IF(AND($I99="monsoon",$E99="woven"),3,0)+IF(AND($I99="festive",$H99="COD"),14,0)+IF(AND($C99="Yes",$B99="Tirupur"),2,0)+IF($J99&gt;=60,15,IF($J99&gt;=40,8,0))))</f>
        <v/>
      </c>
      <c r="L99" s="8">
        <f>IF($J99="","",IF($J99&lt;=35,"Low",IF($J99&lt;=65,"Medium","High")))</f>
        <v/>
      </c>
      <c r="M99" s="8">
        <f>IF($K99="","",IF($K99&lt;=35,"Low",IF($K99&lt;=65,"Medium","High")))</f>
        <v/>
      </c>
      <c r="N99" s="9">
        <f>IF($B99="","",IF(_xlfn.TEXTJOIN(", ",TRUE,IF($C99="Yes","New vendor",""),IF($B99="Tirupur","Tirupur cluster",""),IF($B99="Bengaluru","Bengaluru cluster",""),IF($D99="Below 0.85","Low vendor reliability",""),IF($E99="woven","Woven fabric",""),IF($F99&gt;350,"Large order (350+)",""),IF($G99="Tier-3","Tier-3 destination",""),IF($G99="Tier-2","Tier-2 destination",""),IF($H99="COD","COD payment",""),IF($I99="festive","Festive season",""),IF($I99="monsoon","Monsoon season",""))="","Baseline risk only",_xlfn.TEXTJOIN(", ",TRUE,IF($C99="Yes","New vendor",""),IF($B99="Tirupur","Tirupur cluster",""),IF($B99="Bengaluru","Bengaluru cluster",""),IF($D99="Below 0.85","Low vendor reliability",""),IF($E99="woven","Woven fabric",""),IF($F99&gt;350,"Large order (350+)",""),IF($G99="Tier-3","Tier-3 destination",""),IF($G99="Tier-2","Tier-2 destination",""),IF($H99="COD","COD payment",""),IF($I99="festive","Festive season",""),IF($I99="monsoon","Monsoon season",""))))</f>
        <v/>
      </c>
      <c r="O99" s="9">
        <f>IF($B99="","",IF(AND($L99="High",$M99="High"),"Escalate — high delay AND return risk: alternate vendor, add buffer, check sizing and payment",IF($L99="High","High delay risk — add a lead-time buffer or use a faster cluster",IF($M99="High","High return risk — tighten sizing guidance; consider a prepaid incentive",IF(OR($L99="Medium",$M99="Medium"),"Moderate risk — keep this order on the watch list","Low risk — no action needed")))))</f>
        <v/>
      </c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7">
        <f>IF($B100="","",MIN(100,10+IF($C100="Yes",22,0)+IF($B100="Tirupur",14,0)+IF($B100="Bengaluru",4,0)+IF($D100="Below 0.85",12,0)+IF($E100="woven",12,0)+IF($F100&gt;350,8,0)+IF($G100="Tier-3",10,0)+IF($G100="Tier-2",5,0)+IF($H100="COD",2,0)+IF($I100="festive",12,0)+IF($I100="monsoon",8,0)+IF(AND($I100="monsoon",$E100="woven"),10,0)+IF(AND($C100="Yes",$B100="Tirupur"),10,0)))</f>
        <v/>
      </c>
      <c r="K100" s="7">
        <f>IF($B100="","",MIN(100,15+IF($C100="Yes",10,0)+IF($B100="Tirupur",3,0)+IF($D100="Below 0.85",6,0)+IF($E100="woven",5,0)+IF($G100="Tier-3",14,0)+IF($G100="Tier-2",7,0)+IF($H100="COD",22,0)+IF($I100="festive",10,0)+IF($I100="monsoon",3,0)+IF(AND($I100="monsoon",$E100="woven"),3,0)+IF(AND($I100="festive",$H100="COD"),14,0)+IF(AND($C100="Yes",$B100="Tirupur"),2,0)+IF($J100&gt;=60,15,IF($J100&gt;=40,8,0))))</f>
        <v/>
      </c>
      <c r="L100" s="8">
        <f>IF($J100="","",IF($J100&lt;=35,"Low",IF($J100&lt;=65,"Medium","High")))</f>
        <v/>
      </c>
      <c r="M100" s="8">
        <f>IF($K100="","",IF($K100&lt;=35,"Low",IF($K100&lt;=65,"Medium","High")))</f>
        <v/>
      </c>
      <c r="N100" s="9">
        <f>IF($B100="","",IF(_xlfn.TEXTJOIN(", ",TRUE,IF($C100="Yes","New vendor",""),IF($B100="Tirupur","Tirupur cluster",""),IF($B100="Bengaluru","Bengaluru cluster",""),IF($D100="Below 0.85","Low vendor reliability",""),IF($E100="woven","Woven fabric",""),IF($F100&gt;350,"Large order (350+)",""),IF($G100="Tier-3","Tier-3 destination",""),IF($G100="Tier-2","Tier-2 destination",""),IF($H100="COD","COD payment",""),IF($I100="festive","Festive season",""),IF($I100="monsoon","Monsoon season",""))="","Baseline risk only",_xlfn.TEXTJOIN(", ",TRUE,IF($C100="Yes","New vendor",""),IF($B100="Tirupur","Tirupur cluster",""),IF($B100="Bengaluru","Bengaluru cluster",""),IF($D100="Below 0.85","Low vendor reliability",""),IF($E100="woven","Woven fabric",""),IF($F100&gt;350,"Large order (350+)",""),IF($G100="Tier-3","Tier-3 destination",""),IF($G100="Tier-2","Tier-2 destination",""),IF($H100="COD","COD payment",""),IF($I100="festive","Festive season",""),IF($I100="monsoon","Monsoon season",""))))</f>
        <v/>
      </c>
      <c r="O100" s="9">
        <f>IF($B100="","",IF(AND($L100="High",$M100="High"),"Escalate — high delay AND return risk: alternate vendor, add buffer, check sizing and payment",IF($L100="High","High delay risk — add a lead-time buffer or use a faster cluster",IF($M100="High","High return risk — tighten sizing guidance; consider a prepaid incentive",IF(OR($L100="Medium",$M100="Medium"),"Moderate risk — keep this order on the watch list","Low risk — no action needed")))))</f>
        <v/>
      </c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7">
        <f>IF($B101="","",MIN(100,10+IF($C101="Yes",22,0)+IF($B101="Tirupur",14,0)+IF($B101="Bengaluru",4,0)+IF($D101="Below 0.85",12,0)+IF($E101="woven",12,0)+IF($F101&gt;350,8,0)+IF($G101="Tier-3",10,0)+IF($G101="Tier-2",5,0)+IF($H101="COD",2,0)+IF($I101="festive",12,0)+IF($I101="monsoon",8,0)+IF(AND($I101="monsoon",$E101="woven"),10,0)+IF(AND($C101="Yes",$B101="Tirupur"),10,0)))</f>
        <v/>
      </c>
      <c r="K101" s="7">
        <f>IF($B101="","",MIN(100,15+IF($C101="Yes",10,0)+IF($B101="Tirupur",3,0)+IF($D101="Below 0.85",6,0)+IF($E101="woven",5,0)+IF($G101="Tier-3",14,0)+IF($G101="Tier-2",7,0)+IF($H101="COD",22,0)+IF($I101="festive",10,0)+IF($I101="monsoon",3,0)+IF(AND($I101="monsoon",$E101="woven"),3,0)+IF(AND($I101="festive",$H101="COD"),14,0)+IF(AND($C101="Yes",$B101="Tirupur"),2,0)+IF($J101&gt;=60,15,IF($J101&gt;=40,8,0))))</f>
        <v/>
      </c>
      <c r="L101" s="8">
        <f>IF($J101="","",IF($J101&lt;=35,"Low",IF($J101&lt;=65,"Medium","High")))</f>
        <v/>
      </c>
      <c r="M101" s="8">
        <f>IF($K101="","",IF($K101&lt;=35,"Low",IF($K101&lt;=65,"Medium","High")))</f>
        <v/>
      </c>
      <c r="N101" s="9">
        <f>IF($B101="","",IF(_xlfn.TEXTJOIN(", ",TRUE,IF($C101="Yes","New vendor",""),IF($B101="Tirupur","Tirupur cluster",""),IF($B101="Bengaluru","Bengaluru cluster",""),IF($D101="Below 0.85","Low vendor reliability",""),IF($E101="woven","Woven fabric",""),IF($F101&gt;350,"Large order (350+)",""),IF($G101="Tier-3","Tier-3 destination",""),IF($G101="Tier-2","Tier-2 destination",""),IF($H101="COD","COD payment",""),IF($I101="festive","Festive season",""),IF($I101="monsoon","Monsoon season",""))="","Baseline risk only",_xlfn.TEXTJOIN(", ",TRUE,IF($C101="Yes","New vendor",""),IF($B101="Tirupur","Tirupur cluster",""),IF($B101="Bengaluru","Bengaluru cluster",""),IF($D101="Below 0.85","Low vendor reliability",""),IF($E101="woven","Woven fabric",""),IF($F101&gt;350,"Large order (350+)",""),IF($G101="Tier-3","Tier-3 destination",""),IF($G101="Tier-2","Tier-2 destination",""),IF($H101="COD","COD payment",""),IF($I101="festive","Festive season",""),IF($I101="monsoon","Monsoon season",""))))</f>
        <v/>
      </c>
      <c r="O101" s="9">
        <f>IF($B101="","",IF(AND($L101="High",$M101="High"),"Escalate — high delay AND return risk: alternate vendor, add buffer, check sizing and payment",IF($L101="High","High delay risk — add a lead-time buffer or use a faster cluster",IF($M101="High","High return risk — tighten sizing guidance; consider a prepaid incentive",IF(OR($L101="Medium",$M101="Medium"),"Moderate risk — keep this order on the watch list","Low risk — no action needed")))))</f>
        <v/>
      </c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7">
        <f>IF($B102="","",MIN(100,10+IF($C102="Yes",22,0)+IF($B102="Tirupur",14,0)+IF($B102="Bengaluru",4,0)+IF($D102="Below 0.85",12,0)+IF($E102="woven",12,0)+IF($F102&gt;350,8,0)+IF($G102="Tier-3",10,0)+IF($G102="Tier-2",5,0)+IF($H102="COD",2,0)+IF($I102="festive",12,0)+IF($I102="monsoon",8,0)+IF(AND($I102="monsoon",$E102="woven"),10,0)+IF(AND($C102="Yes",$B102="Tirupur"),10,0)))</f>
        <v/>
      </c>
      <c r="K102" s="7">
        <f>IF($B102="","",MIN(100,15+IF($C102="Yes",10,0)+IF($B102="Tirupur",3,0)+IF($D102="Below 0.85",6,0)+IF($E102="woven",5,0)+IF($G102="Tier-3",14,0)+IF($G102="Tier-2",7,0)+IF($H102="COD",22,0)+IF($I102="festive",10,0)+IF($I102="monsoon",3,0)+IF(AND($I102="monsoon",$E102="woven"),3,0)+IF(AND($I102="festive",$H102="COD"),14,0)+IF(AND($C102="Yes",$B102="Tirupur"),2,0)+IF($J102&gt;=60,15,IF($J102&gt;=40,8,0))))</f>
        <v/>
      </c>
      <c r="L102" s="8">
        <f>IF($J102="","",IF($J102&lt;=35,"Low",IF($J102&lt;=65,"Medium","High")))</f>
        <v/>
      </c>
      <c r="M102" s="8">
        <f>IF($K102="","",IF($K102&lt;=35,"Low",IF($K102&lt;=65,"Medium","High")))</f>
        <v/>
      </c>
      <c r="N102" s="9">
        <f>IF($B102="","",IF(_xlfn.TEXTJOIN(", ",TRUE,IF($C102="Yes","New vendor",""),IF($B102="Tirupur","Tirupur cluster",""),IF($B102="Bengaluru","Bengaluru cluster",""),IF($D102="Below 0.85","Low vendor reliability",""),IF($E102="woven","Woven fabric",""),IF($F102&gt;350,"Large order (350+)",""),IF($G102="Tier-3","Tier-3 destination",""),IF($G102="Tier-2","Tier-2 destination",""),IF($H102="COD","COD payment",""),IF($I102="festive","Festive season",""),IF($I102="monsoon","Monsoon season",""))="","Baseline risk only",_xlfn.TEXTJOIN(", ",TRUE,IF($C102="Yes","New vendor",""),IF($B102="Tirupur","Tirupur cluster",""),IF($B102="Bengaluru","Bengaluru cluster",""),IF($D102="Below 0.85","Low vendor reliability",""),IF($E102="woven","Woven fabric",""),IF($F102&gt;350,"Large order (350+)",""),IF($G102="Tier-3","Tier-3 destination",""),IF($G102="Tier-2","Tier-2 destination",""),IF($H102="COD","COD payment",""),IF($I102="festive","Festive season",""),IF($I102="monsoon","Monsoon season",""))))</f>
        <v/>
      </c>
      <c r="O102" s="9">
        <f>IF($B102="","",IF(AND($L102="High",$M102="High"),"Escalate — high delay AND return risk: alternate vendor, add buffer, check sizing and payment",IF($L102="High","High delay risk — add a lead-time buffer or use a faster cluster",IF($M102="High","High return risk — tighten sizing guidance; consider a prepaid incentive",IF(OR($L102="Medium",$M102="Medium"),"Moderate risk — keep this order on the watch list","Low risk — no action needed")))))</f>
        <v/>
      </c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7">
        <f>IF($B103="","",MIN(100,10+IF($C103="Yes",22,0)+IF($B103="Tirupur",14,0)+IF($B103="Bengaluru",4,0)+IF($D103="Below 0.85",12,0)+IF($E103="woven",12,0)+IF($F103&gt;350,8,0)+IF($G103="Tier-3",10,0)+IF($G103="Tier-2",5,0)+IF($H103="COD",2,0)+IF($I103="festive",12,0)+IF($I103="monsoon",8,0)+IF(AND($I103="monsoon",$E103="woven"),10,0)+IF(AND($C103="Yes",$B103="Tirupur"),10,0)))</f>
        <v/>
      </c>
      <c r="K103" s="7">
        <f>IF($B103="","",MIN(100,15+IF($C103="Yes",10,0)+IF($B103="Tirupur",3,0)+IF($D103="Below 0.85",6,0)+IF($E103="woven",5,0)+IF($G103="Tier-3",14,0)+IF($G103="Tier-2",7,0)+IF($H103="COD",22,0)+IF($I103="festive",10,0)+IF($I103="monsoon",3,0)+IF(AND($I103="monsoon",$E103="woven"),3,0)+IF(AND($I103="festive",$H103="COD"),14,0)+IF(AND($C103="Yes",$B103="Tirupur"),2,0)+IF($J103&gt;=60,15,IF($J103&gt;=40,8,0))))</f>
        <v/>
      </c>
      <c r="L103" s="8">
        <f>IF($J103="","",IF($J103&lt;=35,"Low",IF($J103&lt;=65,"Medium","High")))</f>
        <v/>
      </c>
      <c r="M103" s="8">
        <f>IF($K103="","",IF($K103&lt;=35,"Low",IF($K103&lt;=65,"Medium","High")))</f>
        <v/>
      </c>
      <c r="N103" s="9">
        <f>IF($B103="","",IF(_xlfn.TEXTJOIN(", ",TRUE,IF($C103="Yes","New vendor",""),IF($B103="Tirupur","Tirupur cluster",""),IF($B103="Bengaluru","Bengaluru cluster",""),IF($D103="Below 0.85","Low vendor reliability",""),IF($E103="woven","Woven fabric",""),IF($F103&gt;350,"Large order (350+)",""),IF($G103="Tier-3","Tier-3 destination",""),IF($G103="Tier-2","Tier-2 destination",""),IF($H103="COD","COD payment",""),IF($I103="festive","Festive season",""),IF($I103="monsoon","Monsoon season",""))="","Baseline risk only",_xlfn.TEXTJOIN(", ",TRUE,IF($C103="Yes","New vendor",""),IF($B103="Tirupur","Tirupur cluster",""),IF($B103="Bengaluru","Bengaluru cluster",""),IF($D103="Below 0.85","Low vendor reliability",""),IF($E103="woven","Woven fabric",""),IF($F103&gt;350,"Large order (350+)",""),IF($G103="Tier-3","Tier-3 destination",""),IF($G103="Tier-2","Tier-2 destination",""),IF($H103="COD","COD payment",""),IF($I103="festive","Festive season",""),IF($I103="monsoon","Monsoon season",""))))</f>
        <v/>
      </c>
      <c r="O103" s="9">
        <f>IF($B103="","",IF(AND($L103="High",$M103="High"),"Escalate — high delay AND return risk: alternate vendor, add buffer, check sizing and payment",IF($L103="High","High delay risk — add a lead-time buffer or use a faster cluster",IF($M103="High","High return risk — tighten sizing guidance; consider a prepaid incentive",IF(OR($L103="Medium",$M103="Medium"),"Moderate risk — keep this order on the watch list","Low risk — no action needed")))))</f>
        <v/>
      </c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7">
        <f>IF($B104="","",MIN(100,10+IF($C104="Yes",22,0)+IF($B104="Tirupur",14,0)+IF($B104="Bengaluru",4,0)+IF($D104="Below 0.85",12,0)+IF($E104="woven",12,0)+IF($F104&gt;350,8,0)+IF($G104="Tier-3",10,0)+IF($G104="Tier-2",5,0)+IF($H104="COD",2,0)+IF($I104="festive",12,0)+IF($I104="monsoon",8,0)+IF(AND($I104="monsoon",$E104="woven"),10,0)+IF(AND($C104="Yes",$B104="Tirupur"),10,0)))</f>
        <v/>
      </c>
      <c r="K104" s="7">
        <f>IF($B104="","",MIN(100,15+IF($C104="Yes",10,0)+IF($B104="Tirupur",3,0)+IF($D104="Below 0.85",6,0)+IF($E104="woven",5,0)+IF($G104="Tier-3",14,0)+IF($G104="Tier-2",7,0)+IF($H104="COD",22,0)+IF($I104="festive",10,0)+IF($I104="monsoon",3,0)+IF(AND($I104="monsoon",$E104="woven"),3,0)+IF(AND($I104="festive",$H104="COD"),14,0)+IF(AND($C104="Yes",$B104="Tirupur"),2,0)+IF($J104&gt;=60,15,IF($J104&gt;=40,8,0))))</f>
        <v/>
      </c>
      <c r="L104" s="8">
        <f>IF($J104="","",IF($J104&lt;=35,"Low",IF($J104&lt;=65,"Medium","High")))</f>
        <v/>
      </c>
      <c r="M104" s="8">
        <f>IF($K104="","",IF($K104&lt;=35,"Low",IF($K104&lt;=65,"Medium","High")))</f>
        <v/>
      </c>
      <c r="N104" s="9">
        <f>IF($B104="","",IF(_xlfn.TEXTJOIN(", ",TRUE,IF($C104="Yes","New vendor",""),IF($B104="Tirupur","Tirupur cluster",""),IF($B104="Bengaluru","Bengaluru cluster",""),IF($D104="Below 0.85","Low vendor reliability",""),IF($E104="woven","Woven fabric",""),IF($F104&gt;350,"Large order (350+)",""),IF($G104="Tier-3","Tier-3 destination",""),IF($G104="Tier-2","Tier-2 destination",""),IF($H104="COD","COD payment",""),IF($I104="festive","Festive season",""),IF($I104="monsoon","Monsoon season",""))="","Baseline risk only",_xlfn.TEXTJOIN(", ",TRUE,IF($C104="Yes","New vendor",""),IF($B104="Tirupur","Tirupur cluster",""),IF($B104="Bengaluru","Bengaluru cluster",""),IF($D104="Below 0.85","Low vendor reliability",""),IF($E104="woven","Woven fabric",""),IF($F104&gt;350,"Large order (350+)",""),IF($G104="Tier-3","Tier-3 destination",""),IF($G104="Tier-2","Tier-2 destination",""),IF($H104="COD","COD payment",""),IF($I104="festive","Festive season",""),IF($I104="monsoon","Monsoon season",""))))</f>
        <v/>
      </c>
      <c r="O104" s="9">
        <f>IF($B104="","",IF(AND($L104="High",$M104="High"),"Escalate — high delay AND return risk: alternate vendor, add buffer, check sizing and payment",IF($L104="High","High delay risk — add a lead-time buffer or use a faster cluster",IF($M104="High","High return risk — tighten sizing guidance; consider a prepaid incentive",IF(OR($L104="Medium",$M104="Medium"),"Moderate risk — keep this order on the watch list","Low risk — no action needed")))))</f>
        <v/>
      </c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7">
        <f>IF($B105="","",MIN(100,10+IF($C105="Yes",22,0)+IF($B105="Tirupur",14,0)+IF($B105="Bengaluru",4,0)+IF($D105="Below 0.85",12,0)+IF($E105="woven",12,0)+IF($F105&gt;350,8,0)+IF($G105="Tier-3",10,0)+IF($G105="Tier-2",5,0)+IF($H105="COD",2,0)+IF($I105="festive",12,0)+IF($I105="monsoon",8,0)+IF(AND($I105="monsoon",$E105="woven"),10,0)+IF(AND($C105="Yes",$B105="Tirupur"),10,0)))</f>
        <v/>
      </c>
      <c r="K105" s="7">
        <f>IF($B105="","",MIN(100,15+IF($C105="Yes",10,0)+IF($B105="Tirupur",3,0)+IF($D105="Below 0.85",6,0)+IF($E105="woven",5,0)+IF($G105="Tier-3",14,0)+IF($G105="Tier-2",7,0)+IF($H105="COD",22,0)+IF($I105="festive",10,0)+IF($I105="monsoon",3,0)+IF(AND($I105="monsoon",$E105="woven"),3,0)+IF(AND($I105="festive",$H105="COD"),14,0)+IF(AND($C105="Yes",$B105="Tirupur"),2,0)+IF($J105&gt;=60,15,IF($J105&gt;=40,8,0))))</f>
        <v/>
      </c>
      <c r="L105" s="8">
        <f>IF($J105="","",IF($J105&lt;=35,"Low",IF($J105&lt;=65,"Medium","High")))</f>
        <v/>
      </c>
      <c r="M105" s="8">
        <f>IF($K105="","",IF($K105&lt;=35,"Low",IF($K105&lt;=65,"Medium","High")))</f>
        <v/>
      </c>
      <c r="N105" s="9">
        <f>IF($B105="","",IF(_xlfn.TEXTJOIN(", ",TRUE,IF($C105="Yes","New vendor",""),IF($B105="Tirupur","Tirupur cluster",""),IF($B105="Bengaluru","Bengaluru cluster",""),IF($D105="Below 0.85","Low vendor reliability",""),IF($E105="woven","Woven fabric",""),IF($F105&gt;350,"Large order (350+)",""),IF($G105="Tier-3","Tier-3 destination",""),IF($G105="Tier-2","Tier-2 destination",""),IF($H105="COD","COD payment",""),IF($I105="festive","Festive season",""),IF($I105="monsoon","Monsoon season",""))="","Baseline risk only",_xlfn.TEXTJOIN(", ",TRUE,IF($C105="Yes","New vendor",""),IF($B105="Tirupur","Tirupur cluster",""),IF($B105="Bengaluru","Bengaluru cluster",""),IF($D105="Below 0.85","Low vendor reliability",""),IF($E105="woven","Woven fabric",""),IF($F105&gt;350,"Large order (350+)",""),IF($G105="Tier-3","Tier-3 destination",""),IF($G105="Tier-2","Tier-2 destination",""),IF($H105="COD","COD payment",""),IF($I105="festive","Festive season",""),IF($I105="monsoon","Monsoon season",""))))</f>
        <v/>
      </c>
      <c r="O105" s="9">
        <f>IF($B105="","",IF(AND($L105="High",$M105="High"),"Escalate — high delay AND return risk: alternate vendor, add buffer, check sizing and payment",IF($L105="High","High delay risk — add a lead-time buffer or use a faster cluster",IF($M105="High","High return risk — tighten sizing guidance; consider a prepaid incentive",IF(OR($L105="Medium",$M105="Medium"),"Moderate risk — keep this order on the watch list","Low risk — no action needed")))))</f>
        <v/>
      </c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7">
        <f>IF($B106="","",MIN(100,10+IF($C106="Yes",22,0)+IF($B106="Tirupur",14,0)+IF($B106="Bengaluru",4,0)+IF($D106="Below 0.85",12,0)+IF($E106="woven",12,0)+IF($F106&gt;350,8,0)+IF($G106="Tier-3",10,0)+IF($G106="Tier-2",5,0)+IF($H106="COD",2,0)+IF($I106="festive",12,0)+IF($I106="monsoon",8,0)+IF(AND($I106="monsoon",$E106="woven"),10,0)+IF(AND($C106="Yes",$B106="Tirupur"),10,0)))</f>
        <v/>
      </c>
      <c r="K106" s="7">
        <f>IF($B106="","",MIN(100,15+IF($C106="Yes",10,0)+IF($B106="Tirupur",3,0)+IF($D106="Below 0.85",6,0)+IF($E106="woven",5,0)+IF($G106="Tier-3",14,0)+IF($G106="Tier-2",7,0)+IF($H106="COD",22,0)+IF($I106="festive",10,0)+IF($I106="monsoon",3,0)+IF(AND($I106="monsoon",$E106="woven"),3,0)+IF(AND($I106="festive",$H106="COD"),14,0)+IF(AND($C106="Yes",$B106="Tirupur"),2,0)+IF($J106&gt;=60,15,IF($J106&gt;=40,8,0))))</f>
        <v/>
      </c>
      <c r="L106" s="8">
        <f>IF($J106="","",IF($J106&lt;=35,"Low",IF($J106&lt;=65,"Medium","High")))</f>
        <v/>
      </c>
      <c r="M106" s="8">
        <f>IF($K106="","",IF($K106&lt;=35,"Low",IF($K106&lt;=65,"Medium","High")))</f>
        <v/>
      </c>
      <c r="N106" s="9">
        <f>IF($B106="","",IF(_xlfn.TEXTJOIN(", ",TRUE,IF($C106="Yes","New vendor",""),IF($B106="Tirupur","Tirupur cluster",""),IF($B106="Bengaluru","Bengaluru cluster",""),IF($D106="Below 0.85","Low vendor reliability",""),IF($E106="woven","Woven fabric",""),IF($F106&gt;350,"Large order (350+)",""),IF($G106="Tier-3","Tier-3 destination",""),IF($G106="Tier-2","Tier-2 destination",""),IF($H106="COD","COD payment",""),IF($I106="festive","Festive season",""),IF($I106="monsoon","Monsoon season",""))="","Baseline risk only",_xlfn.TEXTJOIN(", ",TRUE,IF($C106="Yes","New vendor",""),IF($B106="Tirupur","Tirupur cluster",""),IF($B106="Bengaluru","Bengaluru cluster",""),IF($D106="Below 0.85","Low vendor reliability",""),IF($E106="woven","Woven fabric",""),IF($F106&gt;350,"Large order (350+)",""),IF($G106="Tier-3","Tier-3 destination",""),IF($G106="Tier-2","Tier-2 destination",""),IF($H106="COD","COD payment",""),IF($I106="festive","Festive season",""),IF($I106="monsoon","Monsoon season",""))))</f>
        <v/>
      </c>
      <c r="O106" s="9">
        <f>IF($B106="","",IF(AND($L106="High",$M106="High"),"Escalate — high delay AND return risk: alternate vendor, add buffer, check sizing and payment",IF($L106="High","High delay risk — add a lead-time buffer or use a faster cluster",IF($M106="High","High return risk — tighten sizing guidance; consider a prepaid incentive",IF(OR($L106="Medium",$M106="Medium"),"Moderate risk — keep this order on the watch list","Low risk — no action needed")))))</f>
        <v/>
      </c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7">
        <f>IF($B107="","",MIN(100,10+IF($C107="Yes",22,0)+IF($B107="Tirupur",14,0)+IF($B107="Bengaluru",4,0)+IF($D107="Below 0.85",12,0)+IF($E107="woven",12,0)+IF($F107&gt;350,8,0)+IF($G107="Tier-3",10,0)+IF($G107="Tier-2",5,0)+IF($H107="COD",2,0)+IF($I107="festive",12,0)+IF($I107="monsoon",8,0)+IF(AND($I107="monsoon",$E107="woven"),10,0)+IF(AND($C107="Yes",$B107="Tirupur"),10,0)))</f>
        <v/>
      </c>
      <c r="K107" s="7">
        <f>IF($B107="","",MIN(100,15+IF($C107="Yes",10,0)+IF($B107="Tirupur",3,0)+IF($D107="Below 0.85",6,0)+IF($E107="woven",5,0)+IF($G107="Tier-3",14,0)+IF($G107="Tier-2",7,0)+IF($H107="COD",22,0)+IF($I107="festive",10,0)+IF($I107="monsoon",3,0)+IF(AND($I107="monsoon",$E107="woven"),3,0)+IF(AND($I107="festive",$H107="COD"),14,0)+IF(AND($C107="Yes",$B107="Tirupur"),2,0)+IF($J107&gt;=60,15,IF($J107&gt;=40,8,0))))</f>
        <v/>
      </c>
      <c r="L107" s="8">
        <f>IF($J107="","",IF($J107&lt;=35,"Low",IF($J107&lt;=65,"Medium","High")))</f>
        <v/>
      </c>
      <c r="M107" s="8">
        <f>IF($K107="","",IF($K107&lt;=35,"Low",IF($K107&lt;=65,"Medium","High")))</f>
        <v/>
      </c>
      <c r="N107" s="9">
        <f>IF($B107="","",IF(_xlfn.TEXTJOIN(", ",TRUE,IF($C107="Yes","New vendor",""),IF($B107="Tirupur","Tirupur cluster",""),IF($B107="Bengaluru","Bengaluru cluster",""),IF($D107="Below 0.85","Low vendor reliability",""),IF($E107="woven","Woven fabric",""),IF($F107&gt;350,"Large order (350+)",""),IF($G107="Tier-3","Tier-3 destination",""),IF($G107="Tier-2","Tier-2 destination",""),IF($H107="COD","COD payment",""),IF($I107="festive","Festive season",""),IF($I107="monsoon","Monsoon season",""))="","Baseline risk only",_xlfn.TEXTJOIN(", ",TRUE,IF($C107="Yes","New vendor",""),IF($B107="Tirupur","Tirupur cluster",""),IF($B107="Bengaluru","Bengaluru cluster",""),IF($D107="Below 0.85","Low vendor reliability",""),IF($E107="woven","Woven fabric",""),IF($F107&gt;350,"Large order (350+)",""),IF($G107="Tier-3","Tier-3 destination",""),IF($G107="Tier-2","Tier-2 destination",""),IF($H107="COD","COD payment",""),IF($I107="festive","Festive season",""),IF($I107="monsoon","Monsoon season",""))))</f>
        <v/>
      </c>
      <c r="O107" s="9">
        <f>IF($B107="","",IF(AND($L107="High",$M107="High"),"Escalate — high delay AND return risk: alternate vendor, add buffer, check sizing and payment",IF($L107="High","High delay risk — add a lead-time buffer or use a faster cluster",IF($M107="High","High return risk — tighten sizing guidance; consider a prepaid incentive",IF(OR($L107="Medium",$M107="Medium"),"Moderate risk — keep this order on the watch list","Low risk — no action needed")))))</f>
        <v/>
      </c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7">
        <f>IF($B108="","",MIN(100,10+IF($C108="Yes",22,0)+IF($B108="Tirupur",14,0)+IF($B108="Bengaluru",4,0)+IF($D108="Below 0.85",12,0)+IF($E108="woven",12,0)+IF($F108&gt;350,8,0)+IF($G108="Tier-3",10,0)+IF($G108="Tier-2",5,0)+IF($H108="COD",2,0)+IF($I108="festive",12,0)+IF($I108="monsoon",8,0)+IF(AND($I108="monsoon",$E108="woven"),10,0)+IF(AND($C108="Yes",$B108="Tirupur"),10,0)))</f>
        <v/>
      </c>
      <c r="K108" s="7">
        <f>IF($B108="","",MIN(100,15+IF($C108="Yes",10,0)+IF($B108="Tirupur",3,0)+IF($D108="Below 0.85",6,0)+IF($E108="woven",5,0)+IF($G108="Tier-3",14,0)+IF($G108="Tier-2",7,0)+IF($H108="COD",22,0)+IF($I108="festive",10,0)+IF($I108="monsoon",3,0)+IF(AND($I108="monsoon",$E108="woven"),3,0)+IF(AND($I108="festive",$H108="COD"),14,0)+IF(AND($C108="Yes",$B108="Tirupur"),2,0)+IF($J108&gt;=60,15,IF($J108&gt;=40,8,0))))</f>
        <v/>
      </c>
      <c r="L108" s="8">
        <f>IF($J108="","",IF($J108&lt;=35,"Low",IF($J108&lt;=65,"Medium","High")))</f>
        <v/>
      </c>
      <c r="M108" s="8">
        <f>IF($K108="","",IF($K108&lt;=35,"Low",IF($K108&lt;=65,"Medium","High")))</f>
        <v/>
      </c>
      <c r="N108" s="9">
        <f>IF($B108="","",IF(_xlfn.TEXTJOIN(", ",TRUE,IF($C108="Yes","New vendor",""),IF($B108="Tirupur","Tirupur cluster",""),IF($B108="Bengaluru","Bengaluru cluster",""),IF($D108="Below 0.85","Low vendor reliability",""),IF($E108="woven","Woven fabric",""),IF($F108&gt;350,"Large order (350+)",""),IF($G108="Tier-3","Tier-3 destination",""),IF($G108="Tier-2","Tier-2 destination",""),IF($H108="COD","COD payment",""),IF($I108="festive","Festive season",""),IF($I108="monsoon","Monsoon season",""))="","Baseline risk only",_xlfn.TEXTJOIN(", ",TRUE,IF($C108="Yes","New vendor",""),IF($B108="Tirupur","Tirupur cluster",""),IF($B108="Bengaluru","Bengaluru cluster",""),IF($D108="Below 0.85","Low vendor reliability",""),IF($E108="woven","Woven fabric",""),IF($F108&gt;350,"Large order (350+)",""),IF($G108="Tier-3","Tier-3 destination",""),IF($G108="Tier-2","Tier-2 destination",""),IF($H108="COD","COD payment",""),IF($I108="festive","Festive season",""),IF($I108="monsoon","Monsoon season",""))))</f>
        <v/>
      </c>
      <c r="O108" s="9">
        <f>IF($B108="","",IF(AND($L108="High",$M108="High"),"Escalate — high delay AND return risk: alternate vendor, add buffer, check sizing and payment",IF($L108="High","High delay risk — add a lead-time buffer or use a faster cluster",IF($M108="High","High return risk — tighten sizing guidance; consider a prepaid incentive",IF(OR($L108="Medium",$M108="Medium"),"Moderate risk — keep this order on the watch list","Low risk — no action needed")))))</f>
        <v/>
      </c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7">
        <f>IF($B109="","",MIN(100,10+IF($C109="Yes",22,0)+IF($B109="Tirupur",14,0)+IF($B109="Bengaluru",4,0)+IF($D109="Below 0.85",12,0)+IF($E109="woven",12,0)+IF($F109&gt;350,8,0)+IF($G109="Tier-3",10,0)+IF($G109="Tier-2",5,0)+IF($H109="COD",2,0)+IF($I109="festive",12,0)+IF($I109="monsoon",8,0)+IF(AND($I109="monsoon",$E109="woven"),10,0)+IF(AND($C109="Yes",$B109="Tirupur"),10,0)))</f>
        <v/>
      </c>
      <c r="K109" s="7">
        <f>IF($B109="","",MIN(100,15+IF($C109="Yes",10,0)+IF($B109="Tirupur",3,0)+IF($D109="Below 0.85",6,0)+IF($E109="woven",5,0)+IF($G109="Tier-3",14,0)+IF($G109="Tier-2",7,0)+IF($H109="COD",22,0)+IF($I109="festive",10,0)+IF($I109="monsoon",3,0)+IF(AND($I109="monsoon",$E109="woven"),3,0)+IF(AND($I109="festive",$H109="COD"),14,0)+IF(AND($C109="Yes",$B109="Tirupur"),2,0)+IF($J109&gt;=60,15,IF($J109&gt;=40,8,0))))</f>
        <v/>
      </c>
      <c r="L109" s="8">
        <f>IF($J109="","",IF($J109&lt;=35,"Low",IF($J109&lt;=65,"Medium","High")))</f>
        <v/>
      </c>
      <c r="M109" s="8">
        <f>IF($K109="","",IF($K109&lt;=35,"Low",IF($K109&lt;=65,"Medium","High")))</f>
        <v/>
      </c>
      <c r="N109" s="9">
        <f>IF($B109="","",IF(_xlfn.TEXTJOIN(", ",TRUE,IF($C109="Yes","New vendor",""),IF($B109="Tirupur","Tirupur cluster",""),IF($B109="Bengaluru","Bengaluru cluster",""),IF($D109="Below 0.85","Low vendor reliability",""),IF($E109="woven","Woven fabric",""),IF($F109&gt;350,"Large order (350+)",""),IF($G109="Tier-3","Tier-3 destination",""),IF($G109="Tier-2","Tier-2 destination",""),IF($H109="COD","COD payment",""),IF($I109="festive","Festive season",""),IF($I109="monsoon","Monsoon season",""))="","Baseline risk only",_xlfn.TEXTJOIN(", ",TRUE,IF($C109="Yes","New vendor",""),IF($B109="Tirupur","Tirupur cluster",""),IF($B109="Bengaluru","Bengaluru cluster",""),IF($D109="Below 0.85","Low vendor reliability",""),IF($E109="woven","Woven fabric",""),IF($F109&gt;350,"Large order (350+)",""),IF($G109="Tier-3","Tier-3 destination",""),IF($G109="Tier-2","Tier-2 destination",""),IF($H109="COD","COD payment",""),IF($I109="festive","Festive season",""),IF($I109="monsoon","Monsoon season",""))))</f>
        <v/>
      </c>
      <c r="O109" s="9">
        <f>IF($B109="","",IF(AND($L109="High",$M109="High"),"Escalate — high delay AND return risk: alternate vendor, add buffer, check sizing and payment",IF($L109="High","High delay risk — add a lead-time buffer or use a faster cluster",IF($M109="High","High return risk — tighten sizing guidance; consider a prepaid incentive",IF(OR($L109="Medium",$M109="Medium"),"Moderate risk — keep this order on the watch list","Low risk — no action needed")))))</f>
        <v/>
      </c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7">
        <f>IF($B110="","",MIN(100,10+IF($C110="Yes",22,0)+IF($B110="Tirupur",14,0)+IF($B110="Bengaluru",4,0)+IF($D110="Below 0.85",12,0)+IF($E110="woven",12,0)+IF($F110&gt;350,8,0)+IF($G110="Tier-3",10,0)+IF($G110="Tier-2",5,0)+IF($H110="COD",2,0)+IF($I110="festive",12,0)+IF($I110="monsoon",8,0)+IF(AND($I110="monsoon",$E110="woven"),10,0)+IF(AND($C110="Yes",$B110="Tirupur"),10,0)))</f>
        <v/>
      </c>
      <c r="K110" s="7">
        <f>IF($B110="","",MIN(100,15+IF($C110="Yes",10,0)+IF($B110="Tirupur",3,0)+IF($D110="Below 0.85",6,0)+IF($E110="woven",5,0)+IF($G110="Tier-3",14,0)+IF($G110="Tier-2",7,0)+IF($H110="COD",22,0)+IF($I110="festive",10,0)+IF($I110="monsoon",3,0)+IF(AND($I110="monsoon",$E110="woven"),3,0)+IF(AND($I110="festive",$H110="COD"),14,0)+IF(AND($C110="Yes",$B110="Tirupur"),2,0)+IF($J110&gt;=60,15,IF($J110&gt;=40,8,0))))</f>
        <v/>
      </c>
      <c r="L110" s="8">
        <f>IF($J110="","",IF($J110&lt;=35,"Low",IF($J110&lt;=65,"Medium","High")))</f>
        <v/>
      </c>
      <c r="M110" s="8">
        <f>IF($K110="","",IF($K110&lt;=35,"Low",IF($K110&lt;=65,"Medium","High")))</f>
        <v/>
      </c>
      <c r="N110" s="9">
        <f>IF($B110="","",IF(_xlfn.TEXTJOIN(", ",TRUE,IF($C110="Yes","New vendor",""),IF($B110="Tirupur","Tirupur cluster",""),IF($B110="Bengaluru","Bengaluru cluster",""),IF($D110="Below 0.85","Low vendor reliability",""),IF($E110="woven","Woven fabric",""),IF($F110&gt;350,"Large order (350+)",""),IF($G110="Tier-3","Tier-3 destination",""),IF($G110="Tier-2","Tier-2 destination",""),IF($H110="COD","COD payment",""),IF($I110="festive","Festive season",""),IF($I110="monsoon","Monsoon season",""))="","Baseline risk only",_xlfn.TEXTJOIN(", ",TRUE,IF($C110="Yes","New vendor",""),IF($B110="Tirupur","Tirupur cluster",""),IF($B110="Bengaluru","Bengaluru cluster",""),IF($D110="Below 0.85","Low vendor reliability",""),IF($E110="woven","Woven fabric",""),IF($F110&gt;350,"Large order (350+)",""),IF($G110="Tier-3","Tier-3 destination",""),IF($G110="Tier-2","Tier-2 destination",""),IF($H110="COD","COD payment",""),IF($I110="festive","Festive season",""),IF($I110="monsoon","Monsoon season",""))))</f>
        <v/>
      </c>
      <c r="O110" s="9">
        <f>IF($B110="","",IF(AND($L110="High",$M110="High"),"Escalate — high delay AND return risk: alternate vendor, add buffer, check sizing and payment",IF($L110="High","High delay risk — add a lead-time buffer or use a faster cluster",IF($M110="High","High return risk — tighten sizing guidance; consider a prepaid incentive",IF(OR($L110="Medium",$M110="Medium"),"Moderate risk — keep this order on the watch list","Low risk — no action needed")))))</f>
        <v/>
      </c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7">
        <f>IF($B111="","",MIN(100,10+IF($C111="Yes",22,0)+IF($B111="Tirupur",14,0)+IF($B111="Bengaluru",4,0)+IF($D111="Below 0.85",12,0)+IF($E111="woven",12,0)+IF($F111&gt;350,8,0)+IF($G111="Tier-3",10,0)+IF($G111="Tier-2",5,0)+IF($H111="COD",2,0)+IF($I111="festive",12,0)+IF($I111="monsoon",8,0)+IF(AND($I111="monsoon",$E111="woven"),10,0)+IF(AND($C111="Yes",$B111="Tirupur"),10,0)))</f>
        <v/>
      </c>
      <c r="K111" s="7">
        <f>IF($B111="","",MIN(100,15+IF($C111="Yes",10,0)+IF($B111="Tirupur",3,0)+IF($D111="Below 0.85",6,0)+IF($E111="woven",5,0)+IF($G111="Tier-3",14,0)+IF($G111="Tier-2",7,0)+IF($H111="COD",22,0)+IF($I111="festive",10,0)+IF($I111="monsoon",3,0)+IF(AND($I111="monsoon",$E111="woven"),3,0)+IF(AND($I111="festive",$H111="COD"),14,0)+IF(AND($C111="Yes",$B111="Tirupur"),2,0)+IF($J111&gt;=60,15,IF($J111&gt;=40,8,0))))</f>
        <v/>
      </c>
      <c r="L111" s="8">
        <f>IF($J111="","",IF($J111&lt;=35,"Low",IF($J111&lt;=65,"Medium","High")))</f>
        <v/>
      </c>
      <c r="M111" s="8">
        <f>IF($K111="","",IF($K111&lt;=35,"Low",IF($K111&lt;=65,"Medium","High")))</f>
        <v/>
      </c>
      <c r="N111" s="9">
        <f>IF($B111="","",IF(_xlfn.TEXTJOIN(", ",TRUE,IF($C111="Yes","New vendor",""),IF($B111="Tirupur","Tirupur cluster",""),IF($B111="Bengaluru","Bengaluru cluster",""),IF($D111="Below 0.85","Low vendor reliability",""),IF($E111="woven","Woven fabric",""),IF($F111&gt;350,"Large order (350+)",""),IF($G111="Tier-3","Tier-3 destination",""),IF($G111="Tier-2","Tier-2 destination",""),IF($H111="COD","COD payment",""),IF($I111="festive","Festive season",""),IF($I111="monsoon","Monsoon season",""))="","Baseline risk only",_xlfn.TEXTJOIN(", ",TRUE,IF($C111="Yes","New vendor",""),IF($B111="Tirupur","Tirupur cluster",""),IF($B111="Bengaluru","Bengaluru cluster",""),IF($D111="Below 0.85","Low vendor reliability",""),IF($E111="woven","Woven fabric",""),IF($F111&gt;350,"Large order (350+)",""),IF($G111="Tier-3","Tier-3 destination",""),IF($G111="Tier-2","Tier-2 destination",""),IF($H111="COD","COD payment",""),IF($I111="festive","Festive season",""),IF($I111="monsoon","Monsoon season",""))))</f>
        <v/>
      </c>
      <c r="O111" s="9">
        <f>IF($B111="","",IF(AND($L111="High",$M111="High"),"Escalate — high delay AND return risk: alternate vendor, add buffer, check sizing and payment",IF($L111="High","High delay risk — add a lead-time buffer or use a faster cluster",IF($M111="High","High return risk — tighten sizing guidance; consider a prepaid incentive",IF(OR($L111="Medium",$M111="Medium"),"Moderate risk — keep this order on the watch list","Low risk — no action needed")))))</f>
        <v/>
      </c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7">
        <f>IF($B112="","",MIN(100,10+IF($C112="Yes",22,0)+IF($B112="Tirupur",14,0)+IF($B112="Bengaluru",4,0)+IF($D112="Below 0.85",12,0)+IF($E112="woven",12,0)+IF($F112&gt;350,8,0)+IF($G112="Tier-3",10,0)+IF($G112="Tier-2",5,0)+IF($H112="COD",2,0)+IF($I112="festive",12,0)+IF($I112="monsoon",8,0)+IF(AND($I112="monsoon",$E112="woven"),10,0)+IF(AND($C112="Yes",$B112="Tirupur"),10,0)))</f>
        <v/>
      </c>
      <c r="K112" s="7">
        <f>IF($B112="","",MIN(100,15+IF($C112="Yes",10,0)+IF($B112="Tirupur",3,0)+IF($D112="Below 0.85",6,0)+IF($E112="woven",5,0)+IF($G112="Tier-3",14,0)+IF($G112="Tier-2",7,0)+IF($H112="COD",22,0)+IF($I112="festive",10,0)+IF($I112="monsoon",3,0)+IF(AND($I112="monsoon",$E112="woven"),3,0)+IF(AND($I112="festive",$H112="COD"),14,0)+IF(AND($C112="Yes",$B112="Tirupur"),2,0)+IF($J112&gt;=60,15,IF($J112&gt;=40,8,0))))</f>
        <v/>
      </c>
      <c r="L112" s="8">
        <f>IF($J112="","",IF($J112&lt;=35,"Low",IF($J112&lt;=65,"Medium","High")))</f>
        <v/>
      </c>
      <c r="M112" s="8">
        <f>IF($K112="","",IF($K112&lt;=35,"Low",IF($K112&lt;=65,"Medium","High")))</f>
        <v/>
      </c>
      <c r="N112" s="9">
        <f>IF($B112="","",IF(_xlfn.TEXTJOIN(", ",TRUE,IF($C112="Yes","New vendor",""),IF($B112="Tirupur","Tirupur cluster",""),IF($B112="Bengaluru","Bengaluru cluster",""),IF($D112="Below 0.85","Low vendor reliability",""),IF($E112="woven","Woven fabric",""),IF($F112&gt;350,"Large order (350+)",""),IF($G112="Tier-3","Tier-3 destination",""),IF($G112="Tier-2","Tier-2 destination",""),IF($H112="COD","COD payment",""),IF($I112="festive","Festive season",""),IF($I112="monsoon","Monsoon season",""))="","Baseline risk only",_xlfn.TEXTJOIN(", ",TRUE,IF($C112="Yes","New vendor",""),IF($B112="Tirupur","Tirupur cluster",""),IF($B112="Bengaluru","Bengaluru cluster",""),IF($D112="Below 0.85","Low vendor reliability",""),IF($E112="woven","Woven fabric",""),IF($F112&gt;350,"Large order (350+)",""),IF($G112="Tier-3","Tier-3 destination",""),IF($G112="Tier-2","Tier-2 destination",""),IF($H112="COD","COD payment",""),IF($I112="festive","Festive season",""),IF($I112="monsoon","Monsoon season",""))))</f>
        <v/>
      </c>
      <c r="O112" s="9">
        <f>IF($B112="","",IF(AND($L112="High",$M112="High"),"Escalate — high delay AND return risk: alternate vendor, add buffer, check sizing and payment",IF($L112="High","High delay risk — add a lead-time buffer or use a faster cluster",IF($M112="High","High return risk — tighten sizing guidance; consider a prepaid incentive",IF(OR($L112="Medium",$M112="Medium"),"Moderate risk — keep this order on the watch list","Low risk — no action needed")))))</f>
        <v/>
      </c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7">
        <f>IF($B113="","",MIN(100,10+IF($C113="Yes",22,0)+IF($B113="Tirupur",14,0)+IF($B113="Bengaluru",4,0)+IF($D113="Below 0.85",12,0)+IF($E113="woven",12,0)+IF($F113&gt;350,8,0)+IF($G113="Tier-3",10,0)+IF($G113="Tier-2",5,0)+IF($H113="COD",2,0)+IF($I113="festive",12,0)+IF($I113="monsoon",8,0)+IF(AND($I113="monsoon",$E113="woven"),10,0)+IF(AND($C113="Yes",$B113="Tirupur"),10,0)))</f>
        <v/>
      </c>
      <c r="K113" s="7">
        <f>IF($B113="","",MIN(100,15+IF($C113="Yes",10,0)+IF($B113="Tirupur",3,0)+IF($D113="Below 0.85",6,0)+IF($E113="woven",5,0)+IF($G113="Tier-3",14,0)+IF($G113="Tier-2",7,0)+IF($H113="COD",22,0)+IF($I113="festive",10,0)+IF($I113="monsoon",3,0)+IF(AND($I113="monsoon",$E113="woven"),3,0)+IF(AND($I113="festive",$H113="COD"),14,0)+IF(AND($C113="Yes",$B113="Tirupur"),2,0)+IF($J113&gt;=60,15,IF($J113&gt;=40,8,0))))</f>
        <v/>
      </c>
      <c r="L113" s="8">
        <f>IF($J113="","",IF($J113&lt;=35,"Low",IF($J113&lt;=65,"Medium","High")))</f>
        <v/>
      </c>
      <c r="M113" s="8">
        <f>IF($K113="","",IF($K113&lt;=35,"Low",IF($K113&lt;=65,"Medium","High")))</f>
        <v/>
      </c>
      <c r="N113" s="9">
        <f>IF($B113="","",IF(_xlfn.TEXTJOIN(", ",TRUE,IF($C113="Yes","New vendor",""),IF($B113="Tirupur","Tirupur cluster",""),IF($B113="Bengaluru","Bengaluru cluster",""),IF($D113="Below 0.85","Low vendor reliability",""),IF($E113="woven","Woven fabric",""),IF($F113&gt;350,"Large order (350+)",""),IF($G113="Tier-3","Tier-3 destination",""),IF($G113="Tier-2","Tier-2 destination",""),IF($H113="COD","COD payment",""),IF($I113="festive","Festive season",""),IF($I113="monsoon","Monsoon season",""))="","Baseline risk only",_xlfn.TEXTJOIN(", ",TRUE,IF($C113="Yes","New vendor",""),IF($B113="Tirupur","Tirupur cluster",""),IF($B113="Bengaluru","Bengaluru cluster",""),IF($D113="Below 0.85","Low vendor reliability",""),IF($E113="woven","Woven fabric",""),IF($F113&gt;350,"Large order (350+)",""),IF($G113="Tier-3","Tier-3 destination",""),IF($G113="Tier-2","Tier-2 destination",""),IF($H113="COD","COD payment",""),IF($I113="festive","Festive season",""),IF($I113="monsoon","Monsoon season",""))))</f>
        <v/>
      </c>
      <c r="O113" s="9">
        <f>IF($B113="","",IF(AND($L113="High",$M113="High"),"Escalate — high delay AND return risk: alternate vendor, add buffer, check sizing and payment",IF($L113="High","High delay risk — add a lead-time buffer or use a faster cluster",IF($M113="High","High return risk — tighten sizing guidance; consider a prepaid incentive",IF(OR($L113="Medium",$M113="Medium"),"Moderate risk — keep this order on the watch list","Low risk — no action needed")))))</f>
        <v/>
      </c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7">
        <f>IF($B114="","",MIN(100,10+IF($C114="Yes",22,0)+IF($B114="Tirupur",14,0)+IF($B114="Bengaluru",4,0)+IF($D114="Below 0.85",12,0)+IF($E114="woven",12,0)+IF($F114&gt;350,8,0)+IF($G114="Tier-3",10,0)+IF($G114="Tier-2",5,0)+IF($H114="COD",2,0)+IF($I114="festive",12,0)+IF($I114="monsoon",8,0)+IF(AND($I114="monsoon",$E114="woven"),10,0)+IF(AND($C114="Yes",$B114="Tirupur"),10,0)))</f>
        <v/>
      </c>
      <c r="K114" s="7">
        <f>IF($B114="","",MIN(100,15+IF($C114="Yes",10,0)+IF($B114="Tirupur",3,0)+IF($D114="Below 0.85",6,0)+IF($E114="woven",5,0)+IF($G114="Tier-3",14,0)+IF($G114="Tier-2",7,0)+IF($H114="COD",22,0)+IF($I114="festive",10,0)+IF($I114="monsoon",3,0)+IF(AND($I114="monsoon",$E114="woven"),3,0)+IF(AND($I114="festive",$H114="COD"),14,0)+IF(AND($C114="Yes",$B114="Tirupur"),2,0)+IF($J114&gt;=60,15,IF($J114&gt;=40,8,0))))</f>
        <v/>
      </c>
      <c r="L114" s="8">
        <f>IF($J114="","",IF($J114&lt;=35,"Low",IF($J114&lt;=65,"Medium","High")))</f>
        <v/>
      </c>
      <c r="M114" s="8">
        <f>IF($K114="","",IF($K114&lt;=35,"Low",IF($K114&lt;=65,"Medium","High")))</f>
        <v/>
      </c>
      <c r="N114" s="9">
        <f>IF($B114="","",IF(_xlfn.TEXTJOIN(", ",TRUE,IF($C114="Yes","New vendor",""),IF($B114="Tirupur","Tirupur cluster",""),IF($B114="Bengaluru","Bengaluru cluster",""),IF($D114="Below 0.85","Low vendor reliability",""),IF($E114="woven","Woven fabric",""),IF($F114&gt;350,"Large order (350+)",""),IF($G114="Tier-3","Tier-3 destination",""),IF($G114="Tier-2","Tier-2 destination",""),IF($H114="COD","COD payment",""),IF($I114="festive","Festive season",""),IF($I114="monsoon","Monsoon season",""))="","Baseline risk only",_xlfn.TEXTJOIN(", ",TRUE,IF($C114="Yes","New vendor",""),IF($B114="Tirupur","Tirupur cluster",""),IF($B114="Bengaluru","Bengaluru cluster",""),IF($D114="Below 0.85","Low vendor reliability",""),IF($E114="woven","Woven fabric",""),IF($F114&gt;350,"Large order (350+)",""),IF($G114="Tier-3","Tier-3 destination",""),IF($G114="Tier-2","Tier-2 destination",""),IF($H114="COD","COD payment",""),IF($I114="festive","Festive season",""),IF($I114="monsoon","Monsoon season",""))))</f>
        <v/>
      </c>
      <c r="O114" s="9">
        <f>IF($B114="","",IF(AND($L114="High",$M114="High"),"Escalate — high delay AND return risk: alternate vendor, add buffer, check sizing and payment",IF($L114="High","High delay risk — add a lead-time buffer or use a faster cluster",IF($M114="High","High return risk — tighten sizing guidance; consider a prepaid incentive",IF(OR($L114="Medium",$M114="Medium"),"Moderate risk — keep this order on the watch list","Low risk — no action needed")))))</f>
        <v/>
      </c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7">
        <f>IF($B115="","",MIN(100,10+IF($C115="Yes",22,0)+IF($B115="Tirupur",14,0)+IF($B115="Bengaluru",4,0)+IF($D115="Below 0.85",12,0)+IF($E115="woven",12,0)+IF($F115&gt;350,8,0)+IF($G115="Tier-3",10,0)+IF($G115="Tier-2",5,0)+IF($H115="COD",2,0)+IF($I115="festive",12,0)+IF($I115="monsoon",8,0)+IF(AND($I115="monsoon",$E115="woven"),10,0)+IF(AND($C115="Yes",$B115="Tirupur"),10,0)))</f>
        <v/>
      </c>
      <c r="K115" s="7">
        <f>IF($B115="","",MIN(100,15+IF($C115="Yes",10,0)+IF($B115="Tirupur",3,0)+IF($D115="Below 0.85",6,0)+IF($E115="woven",5,0)+IF($G115="Tier-3",14,0)+IF($G115="Tier-2",7,0)+IF($H115="COD",22,0)+IF($I115="festive",10,0)+IF($I115="monsoon",3,0)+IF(AND($I115="monsoon",$E115="woven"),3,0)+IF(AND($I115="festive",$H115="COD"),14,0)+IF(AND($C115="Yes",$B115="Tirupur"),2,0)+IF($J115&gt;=60,15,IF($J115&gt;=40,8,0))))</f>
        <v/>
      </c>
      <c r="L115" s="8">
        <f>IF($J115="","",IF($J115&lt;=35,"Low",IF($J115&lt;=65,"Medium","High")))</f>
        <v/>
      </c>
      <c r="M115" s="8">
        <f>IF($K115="","",IF($K115&lt;=35,"Low",IF($K115&lt;=65,"Medium","High")))</f>
        <v/>
      </c>
      <c r="N115" s="9">
        <f>IF($B115="","",IF(_xlfn.TEXTJOIN(", ",TRUE,IF($C115="Yes","New vendor",""),IF($B115="Tirupur","Tirupur cluster",""),IF($B115="Bengaluru","Bengaluru cluster",""),IF($D115="Below 0.85","Low vendor reliability",""),IF($E115="woven","Woven fabric",""),IF($F115&gt;350,"Large order (350+)",""),IF($G115="Tier-3","Tier-3 destination",""),IF($G115="Tier-2","Tier-2 destination",""),IF($H115="COD","COD payment",""),IF($I115="festive","Festive season",""),IF($I115="monsoon","Monsoon season",""))="","Baseline risk only",_xlfn.TEXTJOIN(", ",TRUE,IF($C115="Yes","New vendor",""),IF($B115="Tirupur","Tirupur cluster",""),IF($B115="Bengaluru","Bengaluru cluster",""),IF($D115="Below 0.85","Low vendor reliability",""),IF($E115="woven","Woven fabric",""),IF($F115&gt;350,"Large order (350+)",""),IF($G115="Tier-3","Tier-3 destination",""),IF($G115="Tier-2","Tier-2 destination",""),IF($H115="COD","COD payment",""),IF($I115="festive","Festive season",""),IF($I115="monsoon","Monsoon season",""))))</f>
        <v/>
      </c>
      <c r="O115" s="9">
        <f>IF($B115="","",IF(AND($L115="High",$M115="High"),"Escalate — high delay AND return risk: alternate vendor, add buffer, check sizing and payment",IF($L115="High","High delay risk — add a lead-time buffer or use a faster cluster",IF($M115="High","High return risk — tighten sizing guidance; consider a prepaid incentive",IF(OR($L115="Medium",$M115="Medium"),"Moderate risk — keep this order on the watch list","Low risk — no action needed")))))</f>
        <v/>
      </c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7">
        <f>IF($B116="","",MIN(100,10+IF($C116="Yes",22,0)+IF($B116="Tirupur",14,0)+IF($B116="Bengaluru",4,0)+IF($D116="Below 0.85",12,0)+IF($E116="woven",12,0)+IF($F116&gt;350,8,0)+IF($G116="Tier-3",10,0)+IF($G116="Tier-2",5,0)+IF($H116="COD",2,0)+IF($I116="festive",12,0)+IF($I116="monsoon",8,0)+IF(AND($I116="monsoon",$E116="woven"),10,0)+IF(AND($C116="Yes",$B116="Tirupur"),10,0)))</f>
        <v/>
      </c>
      <c r="K116" s="7">
        <f>IF($B116="","",MIN(100,15+IF($C116="Yes",10,0)+IF($B116="Tirupur",3,0)+IF($D116="Below 0.85",6,0)+IF($E116="woven",5,0)+IF($G116="Tier-3",14,0)+IF($G116="Tier-2",7,0)+IF($H116="COD",22,0)+IF($I116="festive",10,0)+IF($I116="monsoon",3,0)+IF(AND($I116="monsoon",$E116="woven"),3,0)+IF(AND($I116="festive",$H116="COD"),14,0)+IF(AND($C116="Yes",$B116="Tirupur"),2,0)+IF($J116&gt;=60,15,IF($J116&gt;=40,8,0))))</f>
        <v/>
      </c>
      <c r="L116" s="8">
        <f>IF($J116="","",IF($J116&lt;=35,"Low",IF($J116&lt;=65,"Medium","High")))</f>
        <v/>
      </c>
      <c r="M116" s="8">
        <f>IF($K116="","",IF($K116&lt;=35,"Low",IF($K116&lt;=65,"Medium","High")))</f>
        <v/>
      </c>
      <c r="N116" s="9">
        <f>IF($B116="","",IF(_xlfn.TEXTJOIN(", ",TRUE,IF($C116="Yes","New vendor",""),IF($B116="Tirupur","Tirupur cluster",""),IF($B116="Bengaluru","Bengaluru cluster",""),IF($D116="Below 0.85","Low vendor reliability",""),IF($E116="woven","Woven fabric",""),IF($F116&gt;350,"Large order (350+)",""),IF($G116="Tier-3","Tier-3 destination",""),IF($G116="Tier-2","Tier-2 destination",""),IF($H116="COD","COD payment",""),IF($I116="festive","Festive season",""),IF($I116="monsoon","Monsoon season",""))="","Baseline risk only",_xlfn.TEXTJOIN(", ",TRUE,IF($C116="Yes","New vendor",""),IF($B116="Tirupur","Tirupur cluster",""),IF($B116="Bengaluru","Bengaluru cluster",""),IF($D116="Below 0.85","Low vendor reliability",""),IF($E116="woven","Woven fabric",""),IF($F116&gt;350,"Large order (350+)",""),IF($G116="Tier-3","Tier-3 destination",""),IF($G116="Tier-2","Tier-2 destination",""),IF($H116="COD","COD payment",""),IF($I116="festive","Festive season",""),IF($I116="monsoon","Monsoon season",""))))</f>
        <v/>
      </c>
      <c r="O116" s="9">
        <f>IF($B116="","",IF(AND($L116="High",$M116="High"),"Escalate — high delay AND return risk: alternate vendor, add buffer, check sizing and payment",IF($L116="High","High delay risk — add a lead-time buffer or use a faster cluster",IF($M116="High","High return risk — tighten sizing guidance; consider a prepaid incentive",IF(OR($L116="Medium",$M116="Medium"),"Moderate risk — keep this order on the watch list","Low risk — no action needed")))))</f>
        <v/>
      </c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7">
        <f>IF($B117="","",MIN(100,10+IF($C117="Yes",22,0)+IF($B117="Tirupur",14,0)+IF($B117="Bengaluru",4,0)+IF($D117="Below 0.85",12,0)+IF($E117="woven",12,0)+IF($F117&gt;350,8,0)+IF($G117="Tier-3",10,0)+IF($G117="Tier-2",5,0)+IF($H117="COD",2,0)+IF($I117="festive",12,0)+IF($I117="monsoon",8,0)+IF(AND($I117="monsoon",$E117="woven"),10,0)+IF(AND($C117="Yes",$B117="Tirupur"),10,0)))</f>
        <v/>
      </c>
      <c r="K117" s="7">
        <f>IF($B117="","",MIN(100,15+IF($C117="Yes",10,0)+IF($B117="Tirupur",3,0)+IF($D117="Below 0.85",6,0)+IF($E117="woven",5,0)+IF($G117="Tier-3",14,0)+IF($G117="Tier-2",7,0)+IF($H117="COD",22,0)+IF($I117="festive",10,0)+IF($I117="monsoon",3,0)+IF(AND($I117="monsoon",$E117="woven"),3,0)+IF(AND($I117="festive",$H117="COD"),14,0)+IF(AND($C117="Yes",$B117="Tirupur"),2,0)+IF($J117&gt;=60,15,IF($J117&gt;=40,8,0))))</f>
        <v/>
      </c>
      <c r="L117" s="8">
        <f>IF($J117="","",IF($J117&lt;=35,"Low",IF($J117&lt;=65,"Medium","High")))</f>
        <v/>
      </c>
      <c r="M117" s="8">
        <f>IF($K117="","",IF($K117&lt;=35,"Low",IF($K117&lt;=65,"Medium","High")))</f>
        <v/>
      </c>
      <c r="N117" s="9">
        <f>IF($B117="","",IF(_xlfn.TEXTJOIN(", ",TRUE,IF($C117="Yes","New vendor",""),IF($B117="Tirupur","Tirupur cluster",""),IF($B117="Bengaluru","Bengaluru cluster",""),IF($D117="Below 0.85","Low vendor reliability",""),IF($E117="woven","Woven fabric",""),IF($F117&gt;350,"Large order (350+)",""),IF($G117="Tier-3","Tier-3 destination",""),IF($G117="Tier-2","Tier-2 destination",""),IF($H117="COD","COD payment",""),IF($I117="festive","Festive season",""),IF($I117="monsoon","Monsoon season",""))="","Baseline risk only",_xlfn.TEXTJOIN(", ",TRUE,IF($C117="Yes","New vendor",""),IF($B117="Tirupur","Tirupur cluster",""),IF($B117="Bengaluru","Bengaluru cluster",""),IF($D117="Below 0.85","Low vendor reliability",""),IF($E117="woven","Woven fabric",""),IF($F117&gt;350,"Large order (350+)",""),IF($G117="Tier-3","Tier-3 destination",""),IF($G117="Tier-2","Tier-2 destination",""),IF($H117="COD","COD payment",""),IF($I117="festive","Festive season",""),IF($I117="monsoon","Monsoon season",""))))</f>
        <v/>
      </c>
      <c r="O117" s="9">
        <f>IF($B117="","",IF(AND($L117="High",$M117="High"),"Escalate — high delay AND return risk: alternate vendor, add buffer, check sizing and payment",IF($L117="High","High delay risk — add a lead-time buffer or use a faster cluster",IF($M117="High","High return risk — tighten sizing guidance; consider a prepaid incentive",IF(OR($L117="Medium",$M117="Medium"),"Moderate risk — keep this order on the watch list","Low risk — no action needed")))))</f>
        <v/>
      </c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7">
        <f>IF($B118="","",MIN(100,10+IF($C118="Yes",22,0)+IF($B118="Tirupur",14,0)+IF($B118="Bengaluru",4,0)+IF($D118="Below 0.85",12,0)+IF($E118="woven",12,0)+IF($F118&gt;350,8,0)+IF($G118="Tier-3",10,0)+IF($G118="Tier-2",5,0)+IF($H118="COD",2,0)+IF($I118="festive",12,0)+IF($I118="monsoon",8,0)+IF(AND($I118="monsoon",$E118="woven"),10,0)+IF(AND($C118="Yes",$B118="Tirupur"),10,0)))</f>
        <v/>
      </c>
      <c r="K118" s="7">
        <f>IF($B118="","",MIN(100,15+IF($C118="Yes",10,0)+IF($B118="Tirupur",3,0)+IF($D118="Below 0.85",6,0)+IF($E118="woven",5,0)+IF($G118="Tier-3",14,0)+IF($G118="Tier-2",7,0)+IF($H118="COD",22,0)+IF($I118="festive",10,0)+IF($I118="monsoon",3,0)+IF(AND($I118="monsoon",$E118="woven"),3,0)+IF(AND($I118="festive",$H118="COD"),14,0)+IF(AND($C118="Yes",$B118="Tirupur"),2,0)+IF($J118&gt;=60,15,IF($J118&gt;=40,8,0))))</f>
        <v/>
      </c>
      <c r="L118" s="8">
        <f>IF($J118="","",IF($J118&lt;=35,"Low",IF($J118&lt;=65,"Medium","High")))</f>
        <v/>
      </c>
      <c r="M118" s="8">
        <f>IF($K118="","",IF($K118&lt;=35,"Low",IF($K118&lt;=65,"Medium","High")))</f>
        <v/>
      </c>
      <c r="N118" s="9">
        <f>IF($B118="","",IF(_xlfn.TEXTJOIN(", ",TRUE,IF($C118="Yes","New vendor",""),IF($B118="Tirupur","Tirupur cluster",""),IF($B118="Bengaluru","Bengaluru cluster",""),IF($D118="Below 0.85","Low vendor reliability",""),IF($E118="woven","Woven fabric",""),IF($F118&gt;350,"Large order (350+)",""),IF($G118="Tier-3","Tier-3 destination",""),IF($G118="Tier-2","Tier-2 destination",""),IF($H118="COD","COD payment",""),IF($I118="festive","Festive season",""),IF($I118="monsoon","Monsoon season",""))="","Baseline risk only",_xlfn.TEXTJOIN(", ",TRUE,IF($C118="Yes","New vendor",""),IF($B118="Tirupur","Tirupur cluster",""),IF($B118="Bengaluru","Bengaluru cluster",""),IF($D118="Below 0.85","Low vendor reliability",""),IF($E118="woven","Woven fabric",""),IF($F118&gt;350,"Large order (350+)",""),IF($G118="Tier-3","Tier-3 destination",""),IF($G118="Tier-2","Tier-2 destination",""),IF($H118="COD","COD payment",""),IF($I118="festive","Festive season",""),IF($I118="monsoon","Monsoon season",""))))</f>
        <v/>
      </c>
      <c r="O118" s="9">
        <f>IF($B118="","",IF(AND($L118="High",$M118="High"),"Escalate — high delay AND return risk: alternate vendor, add buffer, check sizing and payment",IF($L118="High","High delay risk — add a lead-time buffer or use a faster cluster",IF($M118="High","High return risk — tighten sizing guidance; consider a prepaid incentive",IF(OR($L118="Medium",$M118="Medium"),"Moderate risk — keep this order on the watch list","Low risk — no action needed")))))</f>
        <v/>
      </c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7">
        <f>IF($B119="","",MIN(100,10+IF($C119="Yes",22,0)+IF($B119="Tirupur",14,0)+IF($B119="Bengaluru",4,0)+IF($D119="Below 0.85",12,0)+IF($E119="woven",12,0)+IF($F119&gt;350,8,0)+IF($G119="Tier-3",10,0)+IF($G119="Tier-2",5,0)+IF($H119="COD",2,0)+IF($I119="festive",12,0)+IF($I119="monsoon",8,0)+IF(AND($I119="monsoon",$E119="woven"),10,0)+IF(AND($C119="Yes",$B119="Tirupur"),10,0)))</f>
        <v/>
      </c>
      <c r="K119" s="7">
        <f>IF($B119="","",MIN(100,15+IF($C119="Yes",10,0)+IF($B119="Tirupur",3,0)+IF($D119="Below 0.85",6,0)+IF($E119="woven",5,0)+IF($G119="Tier-3",14,0)+IF($G119="Tier-2",7,0)+IF($H119="COD",22,0)+IF($I119="festive",10,0)+IF($I119="monsoon",3,0)+IF(AND($I119="monsoon",$E119="woven"),3,0)+IF(AND($I119="festive",$H119="COD"),14,0)+IF(AND($C119="Yes",$B119="Tirupur"),2,0)+IF($J119&gt;=60,15,IF($J119&gt;=40,8,0))))</f>
        <v/>
      </c>
      <c r="L119" s="8">
        <f>IF($J119="","",IF($J119&lt;=35,"Low",IF($J119&lt;=65,"Medium","High")))</f>
        <v/>
      </c>
      <c r="M119" s="8">
        <f>IF($K119="","",IF($K119&lt;=35,"Low",IF($K119&lt;=65,"Medium","High")))</f>
        <v/>
      </c>
      <c r="N119" s="9">
        <f>IF($B119="","",IF(_xlfn.TEXTJOIN(", ",TRUE,IF($C119="Yes","New vendor",""),IF($B119="Tirupur","Tirupur cluster",""),IF($B119="Bengaluru","Bengaluru cluster",""),IF($D119="Below 0.85","Low vendor reliability",""),IF($E119="woven","Woven fabric",""),IF($F119&gt;350,"Large order (350+)",""),IF($G119="Tier-3","Tier-3 destination",""),IF($G119="Tier-2","Tier-2 destination",""),IF($H119="COD","COD payment",""),IF($I119="festive","Festive season",""),IF($I119="monsoon","Monsoon season",""))="","Baseline risk only",_xlfn.TEXTJOIN(", ",TRUE,IF($C119="Yes","New vendor",""),IF($B119="Tirupur","Tirupur cluster",""),IF($B119="Bengaluru","Bengaluru cluster",""),IF($D119="Below 0.85","Low vendor reliability",""),IF($E119="woven","Woven fabric",""),IF($F119&gt;350,"Large order (350+)",""),IF($G119="Tier-3","Tier-3 destination",""),IF($G119="Tier-2","Tier-2 destination",""),IF($H119="COD","COD payment",""),IF($I119="festive","Festive season",""),IF($I119="monsoon","Monsoon season",""))))</f>
        <v/>
      </c>
      <c r="O119" s="9">
        <f>IF($B119="","",IF(AND($L119="High",$M119="High"),"Escalate — high delay AND return risk: alternate vendor, add buffer, check sizing and payment",IF($L119="High","High delay risk — add a lead-time buffer or use a faster cluster",IF($M119="High","High return risk — tighten sizing guidance; consider a prepaid incentive",IF(OR($L119="Medium",$M119="Medium"),"Moderate risk — keep this order on the watch list","Low risk — no action needed")))))</f>
        <v/>
      </c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7">
        <f>IF($B120="","",MIN(100,10+IF($C120="Yes",22,0)+IF($B120="Tirupur",14,0)+IF($B120="Bengaluru",4,0)+IF($D120="Below 0.85",12,0)+IF($E120="woven",12,0)+IF($F120&gt;350,8,0)+IF($G120="Tier-3",10,0)+IF($G120="Tier-2",5,0)+IF($H120="COD",2,0)+IF($I120="festive",12,0)+IF($I120="monsoon",8,0)+IF(AND($I120="monsoon",$E120="woven"),10,0)+IF(AND($C120="Yes",$B120="Tirupur"),10,0)))</f>
        <v/>
      </c>
      <c r="K120" s="7">
        <f>IF($B120="","",MIN(100,15+IF($C120="Yes",10,0)+IF($B120="Tirupur",3,0)+IF($D120="Below 0.85",6,0)+IF($E120="woven",5,0)+IF($G120="Tier-3",14,0)+IF($G120="Tier-2",7,0)+IF($H120="COD",22,0)+IF($I120="festive",10,0)+IF($I120="monsoon",3,0)+IF(AND($I120="monsoon",$E120="woven"),3,0)+IF(AND($I120="festive",$H120="COD"),14,0)+IF(AND($C120="Yes",$B120="Tirupur"),2,0)+IF($J120&gt;=60,15,IF($J120&gt;=40,8,0))))</f>
        <v/>
      </c>
      <c r="L120" s="8">
        <f>IF($J120="","",IF($J120&lt;=35,"Low",IF($J120&lt;=65,"Medium","High")))</f>
        <v/>
      </c>
      <c r="M120" s="8">
        <f>IF($K120="","",IF($K120&lt;=35,"Low",IF($K120&lt;=65,"Medium","High")))</f>
        <v/>
      </c>
      <c r="N120" s="9">
        <f>IF($B120="","",IF(_xlfn.TEXTJOIN(", ",TRUE,IF($C120="Yes","New vendor",""),IF($B120="Tirupur","Tirupur cluster",""),IF($B120="Bengaluru","Bengaluru cluster",""),IF($D120="Below 0.85","Low vendor reliability",""),IF($E120="woven","Woven fabric",""),IF($F120&gt;350,"Large order (350+)",""),IF($G120="Tier-3","Tier-3 destination",""),IF($G120="Tier-2","Tier-2 destination",""),IF($H120="COD","COD payment",""),IF($I120="festive","Festive season",""),IF($I120="monsoon","Monsoon season",""))="","Baseline risk only",_xlfn.TEXTJOIN(", ",TRUE,IF($C120="Yes","New vendor",""),IF($B120="Tirupur","Tirupur cluster",""),IF($B120="Bengaluru","Bengaluru cluster",""),IF($D120="Below 0.85","Low vendor reliability",""),IF($E120="woven","Woven fabric",""),IF($F120&gt;350,"Large order (350+)",""),IF($G120="Tier-3","Tier-3 destination",""),IF($G120="Tier-2","Tier-2 destination",""),IF($H120="COD","COD payment",""),IF($I120="festive","Festive season",""),IF($I120="monsoon","Monsoon season",""))))</f>
        <v/>
      </c>
      <c r="O120" s="9">
        <f>IF($B120="","",IF(AND($L120="High",$M120="High"),"Escalate — high delay AND return risk: alternate vendor, add buffer, check sizing and payment",IF($L120="High","High delay risk — add a lead-time buffer or use a faster cluster",IF($M120="High","High return risk — tighten sizing guidance; consider a prepaid incentive",IF(OR($L120="Medium",$M120="Medium"),"Moderate risk — keep this order on the watch list","Low risk — no action needed")))))</f>
        <v/>
      </c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7">
        <f>IF($B121="","",MIN(100,10+IF($C121="Yes",22,0)+IF($B121="Tirupur",14,0)+IF($B121="Bengaluru",4,0)+IF($D121="Below 0.85",12,0)+IF($E121="woven",12,0)+IF($F121&gt;350,8,0)+IF($G121="Tier-3",10,0)+IF($G121="Tier-2",5,0)+IF($H121="COD",2,0)+IF($I121="festive",12,0)+IF($I121="monsoon",8,0)+IF(AND($I121="monsoon",$E121="woven"),10,0)+IF(AND($C121="Yes",$B121="Tirupur"),10,0)))</f>
        <v/>
      </c>
      <c r="K121" s="7">
        <f>IF($B121="","",MIN(100,15+IF($C121="Yes",10,0)+IF($B121="Tirupur",3,0)+IF($D121="Below 0.85",6,0)+IF($E121="woven",5,0)+IF($G121="Tier-3",14,0)+IF($G121="Tier-2",7,0)+IF($H121="COD",22,0)+IF($I121="festive",10,0)+IF($I121="monsoon",3,0)+IF(AND($I121="monsoon",$E121="woven"),3,0)+IF(AND($I121="festive",$H121="COD"),14,0)+IF(AND($C121="Yes",$B121="Tirupur"),2,0)+IF($J121&gt;=60,15,IF($J121&gt;=40,8,0))))</f>
        <v/>
      </c>
      <c r="L121" s="8">
        <f>IF($J121="","",IF($J121&lt;=35,"Low",IF($J121&lt;=65,"Medium","High")))</f>
        <v/>
      </c>
      <c r="M121" s="8">
        <f>IF($K121="","",IF($K121&lt;=35,"Low",IF($K121&lt;=65,"Medium","High")))</f>
        <v/>
      </c>
      <c r="N121" s="9">
        <f>IF($B121="","",IF(_xlfn.TEXTJOIN(", ",TRUE,IF($C121="Yes","New vendor",""),IF($B121="Tirupur","Tirupur cluster",""),IF($B121="Bengaluru","Bengaluru cluster",""),IF($D121="Below 0.85","Low vendor reliability",""),IF($E121="woven","Woven fabric",""),IF($F121&gt;350,"Large order (350+)",""),IF($G121="Tier-3","Tier-3 destination",""),IF($G121="Tier-2","Tier-2 destination",""),IF($H121="COD","COD payment",""),IF($I121="festive","Festive season",""),IF($I121="monsoon","Monsoon season",""))="","Baseline risk only",_xlfn.TEXTJOIN(", ",TRUE,IF($C121="Yes","New vendor",""),IF($B121="Tirupur","Tirupur cluster",""),IF($B121="Bengaluru","Bengaluru cluster",""),IF($D121="Below 0.85","Low vendor reliability",""),IF($E121="woven","Woven fabric",""),IF($F121&gt;350,"Large order (350+)",""),IF($G121="Tier-3","Tier-3 destination",""),IF($G121="Tier-2","Tier-2 destination",""),IF($H121="COD","COD payment",""),IF($I121="festive","Festive season",""),IF($I121="monsoon","Monsoon season",""))))</f>
        <v/>
      </c>
      <c r="O121" s="9">
        <f>IF($B121="","",IF(AND($L121="High",$M121="High"),"Escalate — high delay AND return risk: alternate vendor, add buffer, check sizing and payment",IF($L121="High","High delay risk — add a lead-time buffer or use a faster cluster",IF($M121="High","High return risk — tighten sizing guidance; consider a prepaid incentive",IF(OR($L121="Medium",$M121="Medium"),"Moderate risk — keep this order on the watch list","Low risk — no action needed")))))</f>
        <v/>
      </c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7">
        <f>IF($B122="","",MIN(100,10+IF($C122="Yes",22,0)+IF($B122="Tirupur",14,0)+IF($B122="Bengaluru",4,0)+IF($D122="Below 0.85",12,0)+IF($E122="woven",12,0)+IF($F122&gt;350,8,0)+IF($G122="Tier-3",10,0)+IF($G122="Tier-2",5,0)+IF($H122="COD",2,0)+IF($I122="festive",12,0)+IF($I122="monsoon",8,0)+IF(AND($I122="monsoon",$E122="woven"),10,0)+IF(AND($C122="Yes",$B122="Tirupur"),10,0)))</f>
        <v/>
      </c>
      <c r="K122" s="7">
        <f>IF($B122="","",MIN(100,15+IF($C122="Yes",10,0)+IF($B122="Tirupur",3,0)+IF($D122="Below 0.85",6,0)+IF($E122="woven",5,0)+IF($G122="Tier-3",14,0)+IF($G122="Tier-2",7,0)+IF($H122="COD",22,0)+IF($I122="festive",10,0)+IF($I122="monsoon",3,0)+IF(AND($I122="monsoon",$E122="woven"),3,0)+IF(AND($I122="festive",$H122="COD"),14,0)+IF(AND($C122="Yes",$B122="Tirupur"),2,0)+IF($J122&gt;=60,15,IF($J122&gt;=40,8,0))))</f>
        <v/>
      </c>
      <c r="L122" s="8">
        <f>IF($J122="","",IF($J122&lt;=35,"Low",IF($J122&lt;=65,"Medium","High")))</f>
        <v/>
      </c>
      <c r="M122" s="8">
        <f>IF($K122="","",IF($K122&lt;=35,"Low",IF($K122&lt;=65,"Medium","High")))</f>
        <v/>
      </c>
      <c r="N122" s="9">
        <f>IF($B122="","",IF(_xlfn.TEXTJOIN(", ",TRUE,IF($C122="Yes","New vendor",""),IF($B122="Tirupur","Tirupur cluster",""),IF($B122="Bengaluru","Bengaluru cluster",""),IF($D122="Below 0.85","Low vendor reliability",""),IF($E122="woven","Woven fabric",""),IF($F122&gt;350,"Large order (350+)",""),IF($G122="Tier-3","Tier-3 destination",""),IF($G122="Tier-2","Tier-2 destination",""),IF($H122="COD","COD payment",""),IF($I122="festive","Festive season",""),IF($I122="monsoon","Monsoon season",""))="","Baseline risk only",_xlfn.TEXTJOIN(", ",TRUE,IF($C122="Yes","New vendor",""),IF($B122="Tirupur","Tirupur cluster",""),IF($B122="Bengaluru","Bengaluru cluster",""),IF($D122="Below 0.85","Low vendor reliability",""),IF($E122="woven","Woven fabric",""),IF($F122&gt;350,"Large order (350+)",""),IF($G122="Tier-3","Tier-3 destination",""),IF($G122="Tier-2","Tier-2 destination",""),IF($H122="COD","COD payment",""),IF($I122="festive","Festive season",""),IF($I122="monsoon","Monsoon season",""))))</f>
        <v/>
      </c>
      <c r="O122" s="9">
        <f>IF($B122="","",IF(AND($L122="High",$M122="High"),"Escalate — high delay AND return risk: alternate vendor, add buffer, check sizing and payment",IF($L122="High","High delay risk — add a lead-time buffer or use a faster cluster",IF($M122="High","High return risk — tighten sizing guidance; consider a prepaid incentive",IF(OR($L122="Medium",$M122="Medium"),"Moderate risk — keep this order on the watch list","Low risk — no action needed")))))</f>
        <v/>
      </c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7">
        <f>IF($B123="","",MIN(100,10+IF($C123="Yes",22,0)+IF($B123="Tirupur",14,0)+IF($B123="Bengaluru",4,0)+IF($D123="Below 0.85",12,0)+IF($E123="woven",12,0)+IF($F123&gt;350,8,0)+IF($G123="Tier-3",10,0)+IF($G123="Tier-2",5,0)+IF($H123="COD",2,0)+IF($I123="festive",12,0)+IF($I123="monsoon",8,0)+IF(AND($I123="monsoon",$E123="woven"),10,0)+IF(AND($C123="Yes",$B123="Tirupur"),10,0)))</f>
        <v/>
      </c>
      <c r="K123" s="7">
        <f>IF($B123="","",MIN(100,15+IF($C123="Yes",10,0)+IF($B123="Tirupur",3,0)+IF($D123="Below 0.85",6,0)+IF($E123="woven",5,0)+IF($G123="Tier-3",14,0)+IF($G123="Tier-2",7,0)+IF($H123="COD",22,0)+IF($I123="festive",10,0)+IF($I123="monsoon",3,0)+IF(AND($I123="monsoon",$E123="woven"),3,0)+IF(AND($I123="festive",$H123="COD"),14,0)+IF(AND($C123="Yes",$B123="Tirupur"),2,0)+IF($J123&gt;=60,15,IF($J123&gt;=40,8,0))))</f>
        <v/>
      </c>
      <c r="L123" s="8">
        <f>IF($J123="","",IF($J123&lt;=35,"Low",IF($J123&lt;=65,"Medium","High")))</f>
        <v/>
      </c>
      <c r="M123" s="8">
        <f>IF($K123="","",IF($K123&lt;=35,"Low",IF($K123&lt;=65,"Medium","High")))</f>
        <v/>
      </c>
      <c r="N123" s="9">
        <f>IF($B123="","",IF(_xlfn.TEXTJOIN(", ",TRUE,IF($C123="Yes","New vendor",""),IF($B123="Tirupur","Tirupur cluster",""),IF($B123="Bengaluru","Bengaluru cluster",""),IF($D123="Below 0.85","Low vendor reliability",""),IF($E123="woven","Woven fabric",""),IF($F123&gt;350,"Large order (350+)",""),IF($G123="Tier-3","Tier-3 destination",""),IF($G123="Tier-2","Tier-2 destination",""),IF($H123="COD","COD payment",""),IF($I123="festive","Festive season",""),IF($I123="monsoon","Monsoon season",""))="","Baseline risk only",_xlfn.TEXTJOIN(", ",TRUE,IF($C123="Yes","New vendor",""),IF($B123="Tirupur","Tirupur cluster",""),IF($B123="Bengaluru","Bengaluru cluster",""),IF($D123="Below 0.85","Low vendor reliability",""),IF($E123="woven","Woven fabric",""),IF($F123&gt;350,"Large order (350+)",""),IF($G123="Tier-3","Tier-3 destination",""),IF($G123="Tier-2","Tier-2 destination",""),IF($H123="COD","COD payment",""),IF($I123="festive","Festive season",""),IF($I123="monsoon","Monsoon season",""))))</f>
        <v/>
      </c>
      <c r="O123" s="9">
        <f>IF($B123="","",IF(AND($L123="High",$M123="High"),"Escalate — high delay AND return risk: alternate vendor, add buffer, check sizing and payment",IF($L123="High","High delay risk — add a lead-time buffer or use a faster cluster",IF($M123="High","High return risk — tighten sizing guidance; consider a prepaid incentive",IF(OR($L123="Medium",$M123="Medium"),"Moderate risk — keep this order on the watch list","Low risk — no action needed")))))</f>
        <v/>
      </c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7">
        <f>IF($B124="","",MIN(100,10+IF($C124="Yes",22,0)+IF($B124="Tirupur",14,0)+IF($B124="Bengaluru",4,0)+IF($D124="Below 0.85",12,0)+IF($E124="woven",12,0)+IF($F124&gt;350,8,0)+IF($G124="Tier-3",10,0)+IF($G124="Tier-2",5,0)+IF($H124="COD",2,0)+IF($I124="festive",12,0)+IF($I124="monsoon",8,0)+IF(AND($I124="monsoon",$E124="woven"),10,0)+IF(AND($C124="Yes",$B124="Tirupur"),10,0)))</f>
        <v/>
      </c>
      <c r="K124" s="7">
        <f>IF($B124="","",MIN(100,15+IF($C124="Yes",10,0)+IF($B124="Tirupur",3,0)+IF($D124="Below 0.85",6,0)+IF($E124="woven",5,0)+IF($G124="Tier-3",14,0)+IF($G124="Tier-2",7,0)+IF($H124="COD",22,0)+IF($I124="festive",10,0)+IF($I124="monsoon",3,0)+IF(AND($I124="monsoon",$E124="woven"),3,0)+IF(AND($I124="festive",$H124="COD"),14,0)+IF(AND($C124="Yes",$B124="Tirupur"),2,0)+IF($J124&gt;=60,15,IF($J124&gt;=40,8,0))))</f>
        <v/>
      </c>
      <c r="L124" s="8">
        <f>IF($J124="","",IF($J124&lt;=35,"Low",IF($J124&lt;=65,"Medium","High")))</f>
        <v/>
      </c>
      <c r="M124" s="8">
        <f>IF($K124="","",IF($K124&lt;=35,"Low",IF($K124&lt;=65,"Medium","High")))</f>
        <v/>
      </c>
      <c r="N124" s="9">
        <f>IF($B124="","",IF(_xlfn.TEXTJOIN(", ",TRUE,IF($C124="Yes","New vendor",""),IF($B124="Tirupur","Tirupur cluster",""),IF($B124="Bengaluru","Bengaluru cluster",""),IF($D124="Below 0.85","Low vendor reliability",""),IF($E124="woven","Woven fabric",""),IF($F124&gt;350,"Large order (350+)",""),IF($G124="Tier-3","Tier-3 destination",""),IF($G124="Tier-2","Tier-2 destination",""),IF($H124="COD","COD payment",""),IF($I124="festive","Festive season",""),IF($I124="monsoon","Monsoon season",""))="","Baseline risk only",_xlfn.TEXTJOIN(", ",TRUE,IF($C124="Yes","New vendor",""),IF($B124="Tirupur","Tirupur cluster",""),IF($B124="Bengaluru","Bengaluru cluster",""),IF($D124="Below 0.85","Low vendor reliability",""),IF($E124="woven","Woven fabric",""),IF($F124&gt;350,"Large order (350+)",""),IF($G124="Tier-3","Tier-3 destination",""),IF($G124="Tier-2","Tier-2 destination",""),IF($H124="COD","COD payment",""),IF($I124="festive","Festive season",""),IF($I124="monsoon","Monsoon season",""))))</f>
        <v/>
      </c>
      <c r="O124" s="9">
        <f>IF($B124="","",IF(AND($L124="High",$M124="High"),"Escalate — high delay AND return risk: alternate vendor, add buffer, check sizing and payment",IF($L124="High","High delay risk — add a lead-time buffer or use a faster cluster",IF($M124="High","High return risk — tighten sizing guidance; consider a prepaid incentive",IF(OR($L124="Medium",$M124="Medium"),"Moderate risk — keep this order on the watch list","Low risk — no action needed")))))</f>
        <v/>
      </c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7">
        <f>IF($B125="","",MIN(100,10+IF($C125="Yes",22,0)+IF($B125="Tirupur",14,0)+IF($B125="Bengaluru",4,0)+IF($D125="Below 0.85",12,0)+IF($E125="woven",12,0)+IF($F125&gt;350,8,0)+IF($G125="Tier-3",10,0)+IF($G125="Tier-2",5,0)+IF($H125="COD",2,0)+IF($I125="festive",12,0)+IF($I125="monsoon",8,0)+IF(AND($I125="monsoon",$E125="woven"),10,0)+IF(AND($C125="Yes",$B125="Tirupur"),10,0)))</f>
        <v/>
      </c>
      <c r="K125" s="7">
        <f>IF($B125="","",MIN(100,15+IF($C125="Yes",10,0)+IF($B125="Tirupur",3,0)+IF($D125="Below 0.85",6,0)+IF($E125="woven",5,0)+IF($G125="Tier-3",14,0)+IF($G125="Tier-2",7,0)+IF($H125="COD",22,0)+IF($I125="festive",10,0)+IF($I125="monsoon",3,0)+IF(AND($I125="monsoon",$E125="woven"),3,0)+IF(AND($I125="festive",$H125="COD"),14,0)+IF(AND($C125="Yes",$B125="Tirupur"),2,0)+IF($J125&gt;=60,15,IF($J125&gt;=40,8,0))))</f>
        <v/>
      </c>
      <c r="L125" s="8">
        <f>IF($J125="","",IF($J125&lt;=35,"Low",IF($J125&lt;=65,"Medium","High")))</f>
        <v/>
      </c>
      <c r="M125" s="8">
        <f>IF($K125="","",IF($K125&lt;=35,"Low",IF($K125&lt;=65,"Medium","High")))</f>
        <v/>
      </c>
      <c r="N125" s="9">
        <f>IF($B125="","",IF(_xlfn.TEXTJOIN(", ",TRUE,IF($C125="Yes","New vendor",""),IF($B125="Tirupur","Tirupur cluster",""),IF($B125="Bengaluru","Bengaluru cluster",""),IF($D125="Below 0.85","Low vendor reliability",""),IF($E125="woven","Woven fabric",""),IF($F125&gt;350,"Large order (350+)",""),IF($G125="Tier-3","Tier-3 destination",""),IF($G125="Tier-2","Tier-2 destination",""),IF($H125="COD","COD payment",""),IF($I125="festive","Festive season",""),IF($I125="monsoon","Monsoon season",""))="","Baseline risk only",_xlfn.TEXTJOIN(", ",TRUE,IF($C125="Yes","New vendor",""),IF($B125="Tirupur","Tirupur cluster",""),IF($B125="Bengaluru","Bengaluru cluster",""),IF($D125="Below 0.85","Low vendor reliability",""),IF($E125="woven","Woven fabric",""),IF($F125&gt;350,"Large order (350+)",""),IF($G125="Tier-3","Tier-3 destination",""),IF($G125="Tier-2","Tier-2 destination",""),IF($H125="COD","COD payment",""),IF($I125="festive","Festive season",""),IF($I125="monsoon","Monsoon season",""))))</f>
        <v/>
      </c>
      <c r="O125" s="9">
        <f>IF($B125="","",IF(AND($L125="High",$M125="High"),"Escalate — high delay AND return risk: alternate vendor, add buffer, check sizing and payment",IF($L125="High","High delay risk — add a lead-time buffer or use a faster cluster",IF($M125="High","High return risk — tighten sizing guidance; consider a prepaid incentive",IF(OR($L125="Medium",$M125="Medium"),"Moderate risk — keep this order on the watch list","Low risk — no action needed")))))</f>
        <v/>
      </c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7">
        <f>IF($B126="","",MIN(100,10+IF($C126="Yes",22,0)+IF($B126="Tirupur",14,0)+IF($B126="Bengaluru",4,0)+IF($D126="Below 0.85",12,0)+IF($E126="woven",12,0)+IF($F126&gt;350,8,0)+IF($G126="Tier-3",10,0)+IF($G126="Tier-2",5,0)+IF($H126="COD",2,0)+IF($I126="festive",12,0)+IF($I126="monsoon",8,0)+IF(AND($I126="monsoon",$E126="woven"),10,0)+IF(AND($C126="Yes",$B126="Tirupur"),10,0)))</f>
        <v/>
      </c>
      <c r="K126" s="7">
        <f>IF($B126="","",MIN(100,15+IF($C126="Yes",10,0)+IF($B126="Tirupur",3,0)+IF($D126="Below 0.85",6,0)+IF($E126="woven",5,0)+IF($G126="Tier-3",14,0)+IF($G126="Tier-2",7,0)+IF($H126="COD",22,0)+IF($I126="festive",10,0)+IF($I126="monsoon",3,0)+IF(AND($I126="monsoon",$E126="woven"),3,0)+IF(AND($I126="festive",$H126="COD"),14,0)+IF(AND($C126="Yes",$B126="Tirupur"),2,0)+IF($J126&gt;=60,15,IF($J126&gt;=40,8,0))))</f>
        <v/>
      </c>
      <c r="L126" s="8">
        <f>IF($J126="","",IF($J126&lt;=35,"Low",IF($J126&lt;=65,"Medium","High")))</f>
        <v/>
      </c>
      <c r="M126" s="8">
        <f>IF($K126="","",IF($K126&lt;=35,"Low",IF($K126&lt;=65,"Medium","High")))</f>
        <v/>
      </c>
      <c r="N126" s="9">
        <f>IF($B126="","",IF(_xlfn.TEXTJOIN(", ",TRUE,IF($C126="Yes","New vendor",""),IF($B126="Tirupur","Tirupur cluster",""),IF($B126="Bengaluru","Bengaluru cluster",""),IF($D126="Below 0.85","Low vendor reliability",""),IF($E126="woven","Woven fabric",""),IF($F126&gt;350,"Large order (350+)",""),IF($G126="Tier-3","Tier-3 destination",""),IF($G126="Tier-2","Tier-2 destination",""),IF($H126="COD","COD payment",""),IF($I126="festive","Festive season",""),IF($I126="monsoon","Monsoon season",""))="","Baseline risk only",_xlfn.TEXTJOIN(", ",TRUE,IF($C126="Yes","New vendor",""),IF($B126="Tirupur","Tirupur cluster",""),IF($B126="Bengaluru","Bengaluru cluster",""),IF($D126="Below 0.85","Low vendor reliability",""),IF($E126="woven","Woven fabric",""),IF($F126&gt;350,"Large order (350+)",""),IF($G126="Tier-3","Tier-3 destination",""),IF($G126="Tier-2","Tier-2 destination",""),IF($H126="COD","COD payment",""),IF($I126="festive","Festive season",""),IF($I126="monsoon","Monsoon season",""))))</f>
        <v/>
      </c>
      <c r="O126" s="9">
        <f>IF($B126="","",IF(AND($L126="High",$M126="High"),"Escalate — high delay AND return risk: alternate vendor, add buffer, check sizing and payment",IF($L126="High","High delay risk — add a lead-time buffer or use a faster cluster",IF($M126="High","High return risk — tighten sizing guidance; consider a prepaid incentive",IF(OR($L126="Medium",$M126="Medium"),"Moderate risk — keep this order on the watch list","Low risk — no action needed")))))</f>
        <v/>
      </c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7">
        <f>IF($B127="","",MIN(100,10+IF($C127="Yes",22,0)+IF($B127="Tirupur",14,0)+IF($B127="Bengaluru",4,0)+IF($D127="Below 0.85",12,0)+IF($E127="woven",12,0)+IF($F127&gt;350,8,0)+IF($G127="Tier-3",10,0)+IF($G127="Tier-2",5,0)+IF($H127="COD",2,0)+IF($I127="festive",12,0)+IF($I127="monsoon",8,0)+IF(AND($I127="monsoon",$E127="woven"),10,0)+IF(AND($C127="Yes",$B127="Tirupur"),10,0)))</f>
        <v/>
      </c>
      <c r="K127" s="7">
        <f>IF($B127="","",MIN(100,15+IF($C127="Yes",10,0)+IF($B127="Tirupur",3,0)+IF($D127="Below 0.85",6,0)+IF($E127="woven",5,0)+IF($G127="Tier-3",14,0)+IF($G127="Tier-2",7,0)+IF($H127="COD",22,0)+IF($I127="festive",10,0)+IF($I127="monsoon",3,0)+IF(AND($I127="monsoon",$E127="woven"),3,0)+IF(AND($I127="festive",$H127="COD"),14,0)+IF(AND($C127="Yes",$B127="Tirupur"),2,0)+IF($J127&gt;=60,15,IF($J127&gt;=40,8,0))))</f>
        <v/>
      </c>
      <c r="L127" s="8">
        <f>IF($J127="","",IF($J127&lt;=35,"Low",IF($J127&lt;=65,"Medium","High")))</f>
        <v/>
      </c>
      <c r="M127" s="8">
        <f>IF($K127="","",IF($K127&lt;=35,"Low",IF($K127&lt;=65,"Medium","High")))</f>
        <v/>
      </c>
      <c r="N127" s="9">
        <f>IF($B127="","",IF(_xlfn.TEXTJOIN(", ",TRUE,IF($C127="Yes","New vendor",""),IF($B127="Tirupur","Tirupur cluster",""),IF($B127="Bengaluru","Bengaluru cluster",""),IF($D127="Below 0.85","Low vendor reliability",""),IF($E127="woven","Woven fabric",""),IF($F127&gt;350,"Large order (350+)",""),IF($G127="Tier-3","Tier-3 destination",""),IF($G127="Tier-2","Tier-2 destination",""),IF($H127="COD","COD payment",""),IF($I127="festive","Festive season",""),IF($I127="monsoon","Monsoon season",""))="","Baseline risk only",_xlfn.TEXTJOIN(", ",TRUE,IF($C127="Yes","New vendor",""),IF($B127="Tirupur","Tirupur cluster",""),IF($B127="Bengaluru","Bengaluru cluster",""),IF($D127="Below 0.85","Low vendor reliability",""),IF($E127="woven","Woven fabric",""),IF($F127&gt;350,"Large order (350+)",""),IF($G127="Tier-3","Tier-3 destination",""),IF($G127="Tier-2","Tier-2 destination",""),IF($H127="COD","COD payment",""),IF($I127="festive","Festive season",""),IF($I127="monsoon","Monsoon season",""))))</f>
        <v/>
      </c>
      <c r="O127" s="9">
        <f>IF($B127="","",IF(AND($L127="High",$M127="High"),"Escalate — high delay AND return risk: alternate vendor, add buffer, check sizing and payment",IF($L127="High","High delay risk — add a lead-time buffer or use a faster cluster",IF($M127="High","High return risk — tighten sizing guidance; consider a prepaid incentive",IF(OR($L127="Medium",$M127="Medium"),"Moderate risk — keep this order on the watch list","Low risk — no action needed")))))</f>
        <v/>
      </c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7">
        <f>IF($B128="","",MIN(100,10+IF($C128="Yes",22,0)+IF($B128="Tirupur",14,0)+IF($B128="Bengaluru",4,0)+IF($D128="Below 0.85",12,0)+IF($E128="woven",12,0)+IF($F128&gt;350,8,0)+IF($G128="Tier-3",10,0)+IF($G128="Tier-2",5,0)+IF($H128="COD",2,0)+IF($I128="festive",12,0)+IF($I128="monsoon",8,0)+IF(AND($I128="monsoon",$E128="woven"),10,0)+IF(AND($C128="Yes",$B128="Tirupur"),10,0)))</f>
        <v/>
      </c>
      <c r="K128" s="7">
        <f>IF($B128="","",MIN(100,15+IF($C128="Yes",10,0)+IF($B128="Tirupur",3,0)+IF($D128="Below 0.85",6,0)+IF($E128="woven",5,0)+IF($G128="Tier-3",14,0)+IF($G128="Tier-2",7,0)+IF($H128="COD",22,0)+IF($I128="festive",10,0)+IF($I128="monsoon",3,0)+IF(AND($I128="monsoon",$E128="woven"),3,0)+IF(AND($I128="festive",$H128="COD"),14,0)+IF(AND($C128="Yes",$B128="Tirupur"),2,0)+IF($J128&gt;=60,15,IF($J128&gt;=40,8,0))))</f>
        <v/>
      </c>
      <c r="L128" s="8">
        <f>IF($J128="","",IF($J128&lt;=35,"Low",IF($J128&lt;=65,"Medium","High")))</f>
        <v/>
      </c>
      <c r="M128" s="8">
        <f>IF($K128="","",IF($K128&lt;=35,"Low",IF($K128&lt;=65,"Medium","High")))</f>
        <v/>
      </c>
      <c r="N128" s="9">
        <f>IF($B128="","",IF(_xlfn.TEXTJOIN(", ",TRUE,IF($C128="Yes","New vendor",""),IF($B128="Tirupur","Tirupur cluster",""),IF($B128="Bengaluru","Bengaluru cluster",""),IF($D128="Below 0.85","Low vendor reliability",""),IF($E128="woven","Woven fabric",""),IF($F128&gt;350,"Large order (350+)",""),IF($G128="Tier-3","Tier-3 destination",""),IF($G128="Tier-2","Tier-2 destination",""),IF($H128="COD","COD payment",""),IF($I128="festive","Festive season",""),IF($I128="monsoon","Monsoon season",""))="","Baseline risk only",_xlfn.TEXTJOIN(", ",TRUE,IF($C128="Yes","New vendor",""),IF($B128="Tirupur","Tirupur cluster",""),IF($B128="Bengaluru","Bengaluru cluster",""),IF($D128="Below 0.85","Low vendor reliability",""),IF($E128="woven","Woven fabric",""),IF($F128&gt;350,"Large order (350+)",""),IF($G128="Tier-3","Tier-3 destination",""),IF($G128="Tier-2","Tier-2 destination",""),IF($H128="COD","COD payment",""),IF($I128="festive","Festive season",""),IF($I128="monsoon","Monsoon season",""))))</f>
        <v/>
      </c>
      <c r="O128" s="9">
        <f>IF($B128="","",IF(AND($L128="High",$M128="High"),"Escalate — high delay AND return risk: alternate vendor, add buffer, check sizing and payment",IF($L128="High","High delay risk — add a lead-time buffer or use a faster cluster",IF($M128="High","High return risk — tighten sizing guidance; consider a prepaid incentive",IF(OR($L128="Medium",$M128="Medium"),"Moderate risk — keep this order on the watch list","Low risk — no action needed")))))</f>
        <v/>
      </c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7">
        <f>IF($B129="","",MIN(100,10+IF($C129="Yes",22,0)+IF($B129="Tirupur",14,0)+IF($B129="Bengaluru",4,0)+IF($D129="Below 0.85",12,0)+IF($E129="woven",12,0)+IF($F129&gt;350,8,0)+IF($G129="Tier-3",10,0)+IF($G129="Tier-2",5,0)+IF($H129="COD",2,0)+IF($I129="festive",12,0)+IF($I129="monsoon",8,0)+IF(AND($I129="monsoon",$E129="woven"),10,0)+IF(AND($C129="Yes",$B129="Tirupur"),10,0)))</f>
        <v/>
      </c>
      <c r="K129" s="7">
        <f>IF($B129="","",MIN(100,15+IF($C129="Yes",10,0)+IF($B129="Tirupur",3,0)+IF($D129="Below 0.85",6,0)+IF($E129="woven",5,0)+IF($G129="Tier-3",14,0)+IF($G129="Tier-2",7,0)+IF($H129="COD",22,0)+IF($I129="festive",10,0)+IF($I129="monsoon",3,0)+IF(AND($I129="monsoon",$E129="woven"),3,0)+IF(AND($I129="festive",$H129="COD"),14,0)+IF(AND($C129="Yes",$B129="Tirupur"),2,0)+IF($J129&gt;=60,15,IF($J129&gt;=40,8,0))))</f>
        <v/>
      </c>
      <c r="L129" s="8">
        <f>IF($J129="","",IF($J129&lt;=35,"Low",IF($J129&lt;=65,"Medium","High")))</f>
        <v/>
      </c>
      <c r="M129" s="8">
        <f>IF($K129="","",IF($K129&lt;=35,"Low",IF($K129&lt;=65,"Medium","High")))</f>
        <v/>
      </c>
      <c r="N129" s="9">
        <f>IF($B129="","",IF(_xlfn.TEXTJOIN(", ",TRUE,IF($C129="Yes","New vendor",""),IF($B129="Tirupur","Tirupur cluster",""),IF($B129="Bengaluru","Bengaluru cluster",""),IF($D129="Below 0.85","Low vendor reliability",""),IF($E129="woven","Woven fabric",""),IF($F129&gt;350,"Large order (350+)",""),IF($G129="Tier-3","Tier-3 destination",""),IF($G129="Tier-2","Tier-2 destination",""),IF($H129="COD","COD payment",""),IF($I129="festive","Festive season",""),IF($I129="monsoon","Monsoon season",""))="","Baseline risk only",_xlfn.TEXTJOIN(", ",TRUE,IF($C129="Yes","New vendor",""),IF($B129="Tirupur","Tirupur cluster",""),IF($B129="Bengaluru","Bengaluru cluster",""),IF($D129="Below 0.85","Low vendor reliability",""),IF($E129="woven","Woven fabric",""),IF($F129&gt;350,"Large order (350+)",""),IF($G129="Tier-3","Tier-3 destination",""),IF($G129="Tier-2","Tier-2 destination",""),IF($H129="COD","COD payment",""),IF($I129="festive","Festive season",""),IF($I129="monsoon","Monsoon season",""))))</f>
        <v/>
      </c>
      <c r="O129" s="9">
        <f>IF($B129="","",IF(AND($L129="High",$M129="High"),"Escalate — high delay AND return risk: alternate vendor, add buffer, check sizing and payment",IF($L129="High","High delay risk — add a lead-time buffer or use a faster cluster",IF($M129="High","High return risk — tighten sizing guidance; consider a prepaid incentive",IF(OR($L129="Medium",$M129="Medium"),"Moderate risk — keep this order on the watch list","Low risk — no action needed")))))</f>
        <v/>
      </c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7">
        <f>IF($B130="","",MIN(100,10+IF($C130="Yes",22,0)+IF($B130="Tirupur",14,0)+IF($B130="Bengaluru",4,0)+IF($D130="Below 0.85",12,0)+IF($E130="woven",12,0)+IF($F130&gt;350,8,0)+IF($G130="Tier-3",10,0)+IF($G130="Tier-2",5,0)+IF($H130="COD",2,0)+IF($I130="festive",12,0)+IF($I130="monsoon",8,0)+IF(AND($I130="monsoon",$E130="woven"),10,0)+IF(AND($C130="Yes",$B130="Tirupur"),10,0)))</f>
        <v/>
      </c>
      <c r="K130" s="7">
        <f>IF($B130="","",MIN(100,15+IF($C130="Yes",10,0)+IF($B130="Tirupur",3,0)+IF($D130="Below 0.85",6,0)+IF($E130="woven",5,0)+IF($G130="Tier-3",14,0)+IF($G130="Tier-2",7,0)+IF($H130="COD",22,0)+IF($I130="festive",10,0)+IF($I130="monsoon",3,0)+IF(AND($I130="monsoon",$E130="woven"),3,0)+IF(AND($I130="festive",$H130="COD"),14,0)+IF(AND($C130="Yes",$B130="Tirupur"),2,0)+IF($J130&gt;=60,15,IF($J130&gt;=40,8,0))))</f>
        <v/>
      </c>
      <c r="L130" s="8">
        <f>IF($J130="","",IF($J130&lt;=35,"Low",IF($J130&lt;=65,"Medium","High")))</f>
        <v/>
      </c>
      <c r="M130" s="8">
        <f>IF($K130="","",IF($K130&lt;=35,"Low",IF($K130&lt;=65,"Medium","High")))</f>
        <v/>
      </c>
      <c r="N130" s="9">
        <f>IF($B130="","",IF(_xlfn.TEXTJOIN(", ",TRUE,IF($C130="Yes","New vendor",""),IF($B130="Tirupur","Tirupur cluster",""),IF($B130="Bengaluru","Bengaluru cluster",""),IF($D130="Below 0.85","Low vendor reliability",""),IF($E130="woven","Woven fabric",""),IF($F130&gt;350,"Large order (350+)",""),IF($G130="Tier-3","Tier-3 destination",""),IF($G130="Tier-2","Tier-2 destination",""),IF($H130="COD","COD payment",""),IF($I130="festive","Festive season",""),IF($I130="monsoon","Monsoon season",""))="","Baseline risk only",_xlfn.TEXTJOIN(", ",TRUE,IF($C130="Yes","New vendor",""),IF($B130="Tirupur","Tirupur cluster",""),IF($B130="Bengaluru","Bengaluru cluster",""),IF($D130="Below 0.85","Low vendor reliability",""),IF($E130="woven","Woven fabric",""),IF($F130&gt;350,"Large order (350+)",""),IF($G130="Tier-3","Tier-3 destination",""),IF($G130="Tier-2","Tier-2 destination",""),IF($H130="COD","COD payment",""),IF($I130="festive","Festive season",""),IF($I130="monsoon","Monsoon season",""))))</f>
        <v/>
      </c>
      <c r="O130" s="9">
        <f>IF($B130="","",IF(AND($L130="High",$M130="High"),"Escalate — high delay AND return risk: alternate vendor, add buffer, check sizing and payment",IF($L130="High","High delay risk — add a lead-time buffer or use a faster cluster",IF($M130="High","High return risk — tighten sizing guidance; consider a prepaid incentive",IF(OR($L130="Medium",$M130="Medium"),"Moderate risk — keep this order on the watch list","Low risk — no action needed")))))</f>
        <v/>
      </c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7">
        <f>IF($B131="","",MIN(100,10+IF($C131="Yes",22,0)+IF($B131="Tirupur",14,0)+IF($B131="Bengaluru",4,0)+IF($D131="Below 0.85",12,0)+IF($E131="woven",12,0)+IF($F131&gt;350,8,0)+IF($G131="Tier-3",10,0)+IF($G131="Tier-2",5,0)+IF($H131="COD",2,0)+IF($I131="festive",12,0)+IF($I131="monsoon",8,0)+IF(AND($I131="monsoon",$E131="woven"),10,0)+IF(AND($C131="Yes",$B131="Tirupur"),10,0)))</f>
        <v/>
      </c>
      <c r="K131" s="7">
        <f>IF($B131="","",MIN(100,15+IF($C131="Yes",10,0)+IF($B131="Tirupur",3,0)+IF($D131="Below 0.85",6,0)+IF($E131="woven",5,0)+IF($G131="Tier-3",14,0)+IF($G131="Tier-2",7,0)+IF($H131="COD",22,0)+IF($I131="festive",10,0)+IF($I131="monsoon",3,0)+IF(AND($I131="monsoon",$E131="woven"),3,0)+IF(AND($I131="festive",$H131="COD"),14,0)+IF(AND($C131="Yes",$B131="Tirupur"),2,0)+IF($J131&gt;=60,15,IF($J131&gt;=40,8,0))))</f>
        <v/>
      </c>
      <c r="L131" s="8">
        <f>IF($J131="","",IF($J131&lt;=35,"Low",IF($J131&lt;=65,"Medium","High")))</f>
        <v/>
      </c>
      <c r="M131" s="8">
        <f>IF($K131="","",IF($K131&lt;=35,"Low",IF($K131&lt;=65,"Medium","High")))</f>
        <v/>
      </c>
      <c r="N131" s="9">
        <f>IF($B131="","",IF(_xlfn.TEXTJOIN(", ",TRUE,IF($C131="Yes","New vendor",""),IF($B131="Tirupur","Tirupur cluster",""),IF($B131="Bengaluru","Bengaluru cluster",""),IF($D131="Below 0.85","Low vendor reliability",""),IF($E131="woven","Woven fabric",""),IF($F131&gt;350,"Large order (350+)",""),IF($G131="Tier-3","Tier-3 destination",""),IF($G131="Tier-2","Tier-2 destination",""),IF($H131="COD","COD payment",""),IF($I131="festive","Festive season",""),IF($I131="monsoon","Monsoon season",""))="","Baseline risk only",_xlfn.TEXTJOIN(", ",TRUE,IF($C131="Yes","New vendor",""),IF($B131="Tirupur","Tirupur cluster",""),IF($B131="Bengaluru","Bengaluru cluster",""),IF($D131="Below 0.85","Low vendor reliability",""),IF($E131="woven","Woven fabric",""),IF($F131&gt;350,"Large order (350+)",""),IF($G131="Tier-3","Tier-3 destination",""),IF($G131="Tier-2","Tier-2 destination",""),IF($H131="COD","COD payment",""),IF($I131="festive","Festive season",""),IF($I131="monsoon","Monsoon season",""))))</f>
        <v/>
      </c>
      <c r="O131" s="9">
        <f>IF($B131="","",IF(AND($L131="High",$M131="High"),"Escalate — high delay AND return risk: alternate vendor, add buffer, check sizing and payment",IF($L131="High","High delay risk — add a lead-time buffer or use a faster cluster",IF($M131="High","High return risk — tighten sizing guidance; consider a prepaid incentive",IF(OR($L131="Medium",$M131="Medium"),"Moderate risk — keep this order on the watch list","Low risk — no action needed")))))</f>
        <v/>
      </c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7">
        <f>IF($B132="","",MIN(100,10+IF($C132="Yes",22,0)+IF($B132="Tirupur",14,0)+IF($B132="Bengaluru",4,0)+IF($D132="Below 0.85",12,0)+IF($E132="woven",12,0)+IF($F132&gt;350,8,0)+IF($G132="Tier-3",10,0)+IF($G132="Tier-2",5,0)+IF($H132="COD",2,0)+IF($I132="festive",12,0)+IF($I132="monsoon",8,0)+IF(AND($I132="monsoon",$E132="woven"),10,0)+IF(AND($C132="Yes",$B132="Tirupur"),10,0)))</f>
        <v/>
      </c>
      <c r="K132" s="7">
        <f>IF($B132="","",MIN(100,15+IF($C132="Yes",10,0)+IF($B132="Tirupur",3,0)+IF($D132="Below 0.85",6,0)+IF($E132="woven",5,0)+IF($G132="Tier-3",14,0)+IF($G132="Tier-2",7,0)+IF($H132="COD",22,0)+IF($I132="festive",10,0)+IF($I132="monsoon",3,0)+IF(AND($I132="monsoon",$E132="woven"),3,0)+IF(AND($I132="festive",$H132="COD"),14,0)+IF(AND($C132="Yes",$B132="Tirupur"),2,0)+IF($J132&gt;=60,15,IF($J132&gt;=40,8,0))))</f>
        <v/>
      </c>
      <c r="L132" s="8">
        <f>IF($J132="","",IF($J132&lt;=35,"Low",IF($J132&lt;=65,"Medium","High")))</f>
        <v/>
      </c>
      <c r="M132" s="8">
        <f>IF($K132="","",IF($K132&lt;=35,"Low",IF($K132&lt;=65,"Medium","High")))</f>
        <v/>
      </c>
      <c r="N132" s="9">
        <f>IF($B132="","",IF(_xlfn.TEXTJOIN(", ",TRUE,IF($C132="Yes","New vendor",""),IF($B132="Tirupur","Tirupur cluster",""),IF($B132="Bengaluru","Bengaluru cluster",""),IF($D132="Below 0.85","Low vendor reliability",""),IF($E132="woven","Woven fabric",""),IF($F132&gt;350,"Large order (350+)",""),IF($G132="Tier-3","Tier-3 destination",""),IF($G132="Tier-2","Tier-2 destination",""),IF($H132="COD","COD payment",""),IF($I132="festive","Festive season",""),IF($I132="monsoon","Monsoon season",""))="","Baseline risk only",_xlfn.TEXTJOIN(", ",TRUE,IF($C132="Yes","New vendor",""),IF($B132="Tirupur","Tirupur cluster",""),IF($B132="Bengaluru","Bengaluru cluster",""),IF($D132="Below 0.85","Low vendor reliability",""),IF($E132="woven","Woven fabric",""),IF($F132&gt;350,"Large order (350+)",""),IF($G132="Tier-3","Tier-3 destination",""),IF($G132="Tier-2","Tier-2 destination",""),IF($H132="COD","COD payment",""),IF($I132="festive","Festive season",""),IF($I132="monsoon","Monsoon season",""))))</f>
        <v/>
      </c>
      <c r="O132" s="9">
        <f>IF($B132="","",IF(AND($L132="High",$M132="High"),"Escalate — high delay AND return risk: alternate vendor, add buffer, check sizing and payment",IF($L132="High","High delay risk — add a lead-time buffer or use a faster cluster",IF($M132="High","High return risk — tighten sizing guidance; consider a prepaid incentive",IF(OR($L132="Medium",$M132="Medium"),"Moderate risk — keep this order on the watch list","Low risk — no action needed")))))</f>
        <v/>
      </c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7">
        <f>IF($B133="","",MIN(100,10+IF($C133="Yes",22,0)+IF($B133="Tirupur",14,0)+IF($B133="Bengaluru",4,0)+IF($D133="Below 0.85",12,0)+IF($E133="woven",12,0)+IF($F133&gt;350,8,0)+IF($G133="Tier-3",10,0)+IF($G133="Tier-2",5,0)+IF($H133="COD",2,0)+IF($I133="festive",12,0)+IF($I133="monsoon",8,0)+IF(AND($I133="monsoon",$E133="woven"),10,0)+IF(AND($C133="Yes",$B133="Tirupur"),10,0)))</f>
        <v/>
      </c>
      <c r="K133" s="7">
        <f>IF($B133="","",MIN(100,15+IF($C133="Yes",10,0)+IF($B133="Tirupur",3,0)+IF($D133="Below 0.85",6,0)+IF($E133="woven",5,0)+IF($G133="Tier-3",14,0)+IF($G133="Tier-2",7,0)+IF($H133="COD",22,0)+IF($I133="festive",10,0)+IF($I133="monsoon",3,0)+IF(AND($I133="monsoon",$E133="woven"),3,0)+IF(AND($I133="festive",$H133="COD"),14,0)+IF(AND($C133="Yes",$B133="Tirupur"),2,0)+IF($J133&gt;=60,15,IF($J133&gt;=40,8,0))))</f>
        <v/>
      </c>
      <c r="L133" s="8">
        <f>IF($J133="","",IF($J133&lt;=35,"Low",IF($J133&lt;=65,"Medium","High")))</f>
        <v/>
      </c>
      <c r="M133" s="8">
        <f>IF($K133="","",IF($K133&lt;=35,"Low",IF($K133&lt;=65,"Medium","High")))</f>
        <v/>
      </c>
      <c r="N133" s="9">
        <f>IF($B133="","",IF(_xlfn.TEXTJOIN(", ",TRUE,IF($C133="Yes","New vendor",""),IF($B133="Tirupur","Tirupur cluster",""),IF($B133="Bengaluru","Bengaluru cluster",""),IF($D133="Below 0.85","Low vendor reliability",""),IF($E133="woven","Woven fabric",""),IF($F133&gt;350,"Large order (350+)",""),IF($G133="Tier-3","Tier-3 destination",""),IF($G133="Tier-2","Tier-2 destination",""),IF($H133="COD","COD payment",""),IF($I133="festive","Festive season",""),IF($I133="monsoon","Monsoon season",""))="","Baseline risk only",_xlfn.TEXTJOIN(", ",TRUE,IF($C133="Yes","New vendor",""),IF($B133="Tirupur","Tirupur cluster",""),IF($B133="Bengaluru","Bengaluru cluster",""),IF($D133="Below 0.85","Low vendor reliability",""),IF($E133="woven","Woven fabric",""),IF($F133&gt;350,"Large order (350+)",""),IF($G133="Tier-3","Tier-3 destination",""),IF($G133="Tier-2","Tier-2 destination",""),IF($H133="COD","COD payment",""),IF($I133="festive","Festive season",""),IF($I133="monsoon","Monsoon season",""))))</f>
        <v/>
      </c>
      <c r="O133" s="9">
        <f>IF($B133="","",IF(AND($L133="High",$M133="High"),"Escalate — high delay AND return risk: alternate vendor, add buffer, check sizing and payment",IF($L133="High","High delay risk — add a lead-time buffer or use a faster cluster",IF($M133="High","High return risk — tighten sizing guidance; consider a prepaid incentive",IF(OR($L133="Medium",$M133="Medium"),"Moderate risk — keep this order on the watch list","Low risk — no action needed")))))</f>
        <v/>
      </c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7">
        <f>IF($B134="","",MIN(100,10+IF($C134="Yes",22,0)+IF($B134="Tirupur",14,0)+IF($B134="Bengaluru",4,0)+IF($D134="Below 0.85",12,0)+IF($E134="woven",12,0)+IF($F134&gt;350,8,0)+IF($G134="Tier-3",10,0)+IF($G134="Tier-2",5,0)+IF($H134="COD",2,0)+IF($I134="festive",12,0)+IF($I134="monsoon",8,0)+IF(AND($I134="monsoon",$E134="woven"),10,0)+IF(AND($C134="Yes",$B134="Tirupur"),10,0)))</f>
        <v/>
      </c>
      <c r="K134" s="7">
        <f>IF($B134="","",MIN(100,15+IF($C134="Yes",10,0)+IF($B134="Tirupur",3,0)+IF($D134="Below 0.85",6,0)+IF($E134="woven",5,0)+IF($G134="Tier-3",14,0)+IF($G134="Tier-2",7,0)+IF($H134="COD",22,0)+IF($I134="festive",10,0)+IF($I134="monsoon",3,0)+IF(AND($I134="monsoon",$E134="woven"),3,0)+IF(AND($I134="festive",$H134="COD"),14,0)+IF(AND($C134="Yes",$B134="Tirupur"),2,0)+IF($J134&gt;=60,15,IF($J134&gt;=40,8,0))))</f>
        <v/>
      </c>
      <c r="L134" s="8">
        <f>IF($J134="","",IF($J134&lt;=35,"Low",IF($J134&lt;=65,"Medium","High")))</f>
        <v/>
      </c>
      <c r="M134" s="8">
        <f>IF($K134="","",IF($K134&lt;=35,"Low",IF($K134&lt;=65,"Medium","High")))</f>
        <v/>
      </c>
      <c r="N134" s="9">
        <f>IF($B134="","",IF(_xlfn.TEXTJOIN(", ",TRUE,IF($C134="Yes","New vendor",""),IF($B134="Tirupur","Tirupur cluster",""),IF($B134="Bengaluru","Bengaluru cluster",""),IF($D134="Below 0.85","Low vendor reliability",""),IF($E134="woven","Woven fabric",""),IF($F134&gt;350,"Large order (350+)",""),IF($G134="Tier-3","Tier-3 destination",""),IF($G134="Tier-2","Tier-2 destination",""),IF($H134="COD","COD payment",""),IF($I134="festive","Festive season",""),IF($I134="monsoon","Monsoon season",""))="","Baseline risk only",_xlfn.TEXTJOIN(", ",TRUE,IF($C134="Yes","New vendor",""),IF($B134="Tirupur","Tirupur cluster",""),IF($B134="Bengaluru","Bengaluru cluster",""),IF($D134="Below 0.85","Low vendor reliability",""),IF($E134="woven","Woven fabric",""),IF($F134&gt;350,"Large order (350+)",""),IF($G134="Tier-3","Tier-3 destination",""),IF($G134="Tier-2","Tier-2 destination",""),IF($H134="COD","COD payment",""),IF($I134="festive","Festive season",""),IF($I134="monsoon","Monsoon season",""))))</f>
        <v/>
      </c>
      <c r="O134" s="9">
        <f>IF($B134="","",IF(AND($L134="High",$M134="High"),"Escalate — high delay AND return risk: alternate vendor, add buffer, check sizing and payment",IF($L134="High","High delay risk — add a lead-time buffer or use a faster cluster",IF($M134="High","High return risk — tighten sizing guidance; consider a prepaid incentive",IF(OR($L134="Medium",$M134="Medium"),"Moderate risk — keep this order on the watch list","Low risk — no action needed")))))</f>
        <v/>
      </c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7">
        <f>IF($B135="","",MIN(100,10+IF($C135="Yes",22,0)+IF($B135="Tirupur",14,0)+IF($B135="Bengaluru",4,0)+IF($D135="Below 0.85",12,0)+IF($E135="woven",12,0)+IF($F135&gt;350,8,0)+IF($G135="Tier-3",10,0)+IF($G135="Tier-2",5,0)+IF($H135="COD",2,0)+IF($I135="festive",12,0)+IF($I135="monsoon",8,0)+IF(AND($I135="monsoon",$E135="woven"),10,0)+IF(AND($C135="Yes",$B135="Tirupur"),10,0)))</f>
        <v/>
      </c>
      <c r="K135" s="7">
        <f>IF($B135="","",MIN(100,15+IF($C135="Yes",10,0)+IF($B135="Tirupur",3,0)+IF($D135="Below 0.85",6,0)+IF($E135="woven",5,0)+IF($G135="Tier-3",14,0)+IF($G135="Tier-2",7,0)+IF($H135="COD",22,0)+IF($I135="festive",10,0)+IF($I135="monsoon",3,0)+IF(AND($I135="monsoon",$E135="woven"),3,0)+IF(AND($I135="festive",$H135="COD"),14,0)+IF(AND($C135="Yes",$B135="Tirupur"),2,0)+IF($J135&gt;=60,15,IF($J135&gt;=40,8,0))))</f>
        <v/>
      </c>
      <c r="L135" s="8">
        <f>IF($J135="","",IF($J135&lt;=35,"Low",IF($J135&lt;=65,"Medium","High")))</f>
        <v/>
      </c>
      <c r="M135" s="8">
        <f>IF($K135="","",IF($K135&lt;=35,"Low",IF($K135&lt;=65,"Medium","High")))</f>
        <v/>
      </c>
      <c r="N135" s="9">
        <f>IF($B135="","",IF(_xlfn.TEXTJOIN(", ",TRUE,IF($C135="Yes","New vendor",""),IF($B135="Tirupur","Tirupur cluster",""),IF($B135="Bengaluru","Bengaluru cluster",""),IF($D135="Below 0.85","Low vendor reliability",""),IF($E135="woven","Woven fabric",""),IF($F135&gt;350,"Large order (350+)",""),IF($G135="Tier-3","Tier-3 destination",""),IF($G135="Tier-2","Tier-2 destination",""),IF($H135="COD","COD payment",""),IF($I135="festive","Festive season",""),IF($I135="monsoon","Monsoon season",""))="","Baseline risk only",_xlfn.TEXTJOIN(", ",TRUE,IF($C135="Yes","New vendor",""),IF($B135="Tirupur","Tirupur cluster",""),IF($B135="Bengaluru","Bengaluru cluster",""),IF($D135="Below 0.85","Low vendor reliability",""),IF($E135="woven","Woven fabric",""),IF($F135&gt;350,"Large order (350+)",""),IF($G135="Tier-3","Tier-3 destination",""),IF($G135="Tier-2","Tier-2 destination",""),IF($H135="COD","COD payment",""),IF($I135="festive","Festive season",""),IF($I135="monsoon","Monsoon season",""))))</f>
        <v/>
      </c>
      <c r="O135" s="9">
        <f>IF($B135="","",IF(AND($L135="High",$M135="High"),"Escalate — high delay AND return risk: alternate vendor, add buffer, check sizing and payment",IF($L135="High","High delay risk — add a lead-time buffer or use a faster cluster",IF($M135="High","High return risk — tighten sizing guidance; consider a prepaid incentive",IF(OR($L135="Medium",$M135="Medium"),"Moderate risk — keep this order on the watch list","Low risk — no action needed")))))</f>
        <v/>
      </c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7">
        <f>IF($B136="","",MIN(100,10+IF($C136="Yes",22,0)+IF($B136="Tirupur",14,0)+IF($B136="Bengaluru",4,0)+IF($D136="Below 0.85",12,0)+IF($E136="woven",12,0)+IF($F136&gt;350,8,0)+IF($G136="Tier-3",10,0)+IF($G136="Tier-2",5,0)+IF($H136="COD",2,0)+IF($I136="festive",12,0)+IF($I136="monsoon",8,0)+IF(AND($I136="monsoon",$E136="woven"),10,0)+IF(AND($C136="Yes",$B136="Tirupur"),10,0)))</f>
        <v/>
      </c>
      <c r="K136" s="7">
        <f>IF($B136="","",MIN(100,15+IF($C136="Yes",10,0)+IF($B136="Tirupur",3,0)+IF($D136="Below 0.85",6,0)+IF($E136="woven",5,0)+IF($G136="Tier-3",14,0)+IF($G136="Tier-2",7,0)+IF($H136="COD",22,0)+IF($I136="festive",10,0)+IF($I136="monsoon",3,0)+IF(AND($I136="monsoon",$E136="woven"),3,0)+IF(AND($I136="festive",$H136="COD"),14,0)+IF(AND($C136="Yes",$B136="Tirupur"),2,0)+IF($J136&gt;=60,15,IF($J136&gt;=40,8,0))))</f>
        <v/>
      </c>
      <c r="L136" s="8">
        <f>IF($J136="","",IF($J136&lt;=35,"Low",IF($J136&lt;=65,"Medium","High")))</f>
        <v/>
      </c>
      <c r="M136" s="8">
        <f>IF($K136="","",IF($K136&lt;=35,"Low",IF($K136&lt;=65,"Medium","High")))</f>
        <v/>
      </c>
      <c r="N136" s="9">
        <f>IF($B136="","",IF(_xlfn.TEXTJOIN(", ",TRUE,IF($C136="Yes","New vendor",""),IF($B136="Tirupur","Tirupur cluster",""),IF($B136="Bengaluru","Bengaluru cluster",""),IF($D136="Below 0.85","Low vendor reliability",""),IF($E136="woven","Woven fabric",""),IF($F136&gt;350,"Large order (350+)",""),IF($G136="Tier-3","Tier-3 destination",""),IF($G136="Tier-2","Tier-2 destination",""),IF($H136="COD","COD payment",""),IF($I136="festive","Festive season",""),IF($I136="monsoon","Monsoon season",""))="","Baseline risk only",_xlfn.TEXTJOIN(", ",TRUE,IF($C136="Yes","New vendor",""),IF($B136="Tirupur","Tirupur cluster",""),IF($B136="Bengaluru","Bengaluru cluster",""),IF($D136="Below 0.85","Low vendor reliability",""),IF($E136="woven","Woven fabric",""),IF($F136&gt;350,"Large order (350+)",""),IF($G136="Tier-3","Tier-3 destination",""),IF($G136="Tier-2","Tier-2 destination",""),IF($H136="COD","COD payment",""),IF($I136="festive","Festive season",""),IF($I136="monsoon","Monsoon season",""))))</f>
        <v/>
      </c>
      <c r="O136" s="9">
        <f>IF($B136="","",IF(AND($L136="High",$M136="High"),"Escalate — high delay AND return risk: alternate vendor, add buffer, check sizing and payment",IF($L136="High","High delay risk — add a lead-time buffer or use a faster cluster",IF($M136="High","High return risk — tighten sizing guidance; consider a prepaid incentive",IF(OR($L136="Medium",$M136="Medium"),"Moderate risk — keep this order on the watch list","Low risk — no action needed")))))</f>
        <v/>
      </c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7">
        <f>IF($B137="","",MIN(100,10+IF($C137="Yes",22,0)+IF($B137="Tirupur",14,0)+IF($B137="Bengaluru",4,0)+IF($D137="Below 0.85",12,0)+IF($E137="woven",12,0)+IF($F137&gt;350,8,0)+IF($G137="Tier-3",10,0)+IF($G137="Tier-2",5,0)+IF($H137="COD",2,0)+IF($I137="festive",12,0)+IF($I137="monsoon",8,0)+IF(AND($I137="monsoon",$E137="woven"),10,0)+IF(AND($C137="Yes",$B137="Tirupur"),10,0)))</f>
        <v/>
      </c>
      <c r="K137" s="7">
        <f>IF($B137="","",MIN(100,15+IF($C137="Yes",10,0)+IF($B137="Tirupur",3,0)+IF($D137="Below 0.85",6,0)+IF($E137="woven",5,0)+IF($G137="Tier-3",14,0)+IF($G137="Tier-2",7,0)+IF($H137="COD",22,0)+IF($I137="festive",10,0)+IF($I137="monsoon",3,0)+IF(AND($I137="monsoon",$E137="woven"),3,0)+IF(AND($I137="festive",$H137="COD"),14,0)+IF(AND($C137="Yes",$B137="Tirupur"),2,0)+IF($J137&gt;=60,15,IF($J137&gt;=40,8,0))))</f>
        <v/>
      </c>
      <c r="L137" s="8">
        <f>IF($J137="","",IF($J137&lt;=35,"Low",IF($J137&lt;=65,"Medium","High")))</f>
        <v/>
      </c>
      <c r="M137" s="8">
        <f>IF($K137="","",IF($K137&lt;=35,"Low",IF($K137&lt;=65,"Medium","High")))</f>
        <v/>
      </c>
      <c r="N137" s="9">
        <f>IF($B137="","",IF(_xlfn.TEXTJOIN(", ",TRUE,IF($C137="Yes","New vendor",""),IF($B137="Tirupur","Tirupur cluster",""),IF($B137="Bengaluru","Bengaluru cluster",""),IF($D137="Below 0.85","Low vendor reliability",""),IF($E137="woven","Woven fabric",""),IF($F137&gt;350,"Large order (350+)",""),IF($G137="Tier-3","Tier-3 destination",""),IF($G137="Tier-2","Tier-2 destination",""),IF($H137="COD","COD payment",""),IF($I137="festive","Festive season",""),IF($I137="monsoon","Monsoon season",""))="","Baseline risk only",_xlfn.TEXTJOIN(", ",TRUE,IF($C137="Yes","New vendor",""),IF($B137="Tirupur","Tirupur cluster",""),IF($B137="Bengaluru","Bengaluru cluster",""),IF($D137="Below 0.85","Low vendor reliability",""),IF($E137="woven","Woven fabric",""),IF($F137&gt;350,"Large order (350+)",""),IF($G137="Tier-3","Tier-3 destination",""),IF($G137="Tier-2","Tier-2 destination",""),IF($H137="COD","COD payment",""),IF($I137="festive","Festive season",""),IF($I137="monsoon","Monsoon season",""))))</f>
        <v/>
      </c>
      <c r="O137" s="9">
        <f>IF($B137="","",IF(AND($L137="High",$M137="High"),"Escalate — high delay AND return risk: alternate vendor, add buffer, check sizing and payment",IF($L137="High","High delay risk — add a lead-time buffer or use a faster cluster",IF($M137="High","High return risk — tighten sizing guidance; consider a prepaid incentive",IF(OR($L137="Medium",$M137="Medium"),"Moderate risk — keep this order on the watch list","Low risk — no action needed")))))</f>
        <v/>
      </c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7">
        <f>IF($B138="","",MIN(100,10+IF($C138="Yes",22,0)+IF($B138="Tirupur",14,0)+IF($B138="Bengaluru",4,0)+IF($D138="Below 0.85",12,0)+IF($E138="woven",12,0)+IF($F138&gt;350,8,0)+IF($G138="Tier-3",10,0)+IF($G138="Tier-2",5,0)+IF($H138="COD",2,0)+IF($I138="festive",12,0)+IF($I138="monsoon",8,0)+IF(AND($I138="monsoon",$E138="woven"),10,0)+IF(AND($C138="Yes",$B138="Tirupur"),10,0)))</f>
        <v/>
      </c>
      <c r="K138" s="7">
        <f>IF($B138="","",MIN(100,15+IF($C138="Yes",10,0)+IF($B138="Tirupur",3,0)+IF($D138="Below 0.85",6,0)+IF($E138="woven",5,0)+IF($G138="Tier-3",14,0)+IF($G138="Tier-2",7,0)+IF($H138="COD",22,0)+IF($I138="festive",10,0)+IF($I138="monsoon",3,0)+IF(AND($I138="monsoon",$E138="woven"),3,0)+IF(AND($I138="festive",$H138="COD"),14,0)+IF(AND($C138="Yes",$B138="Tirupur"),2,0)+IF($J138&gt;=60,15,IF($J138&gt;=40,8,0))))</f>
        <v/>
      </c>
      <c r="L138" s="8">
        <f>IF($J138="","",IF($J138&lt;=35,"Low",IF($J138&lt;=65,"Medium","High")))</f>
        <v/>
      </c>
      <c r="M138" s="8">
        <f>IF($K138="","",IF($K138&lt;=35,"Low",IF($K138&lt;=65,"Medium","High")))</f>
        <v/>
      </c>
      <c r="N138" s="9">
        <f>IF($B138="","",IF(_xlfn.TEXTJOIN(", ",TRUE,IF($C138="Yes","New vendor",""),IF($B138="Tirupur","Tirupur cluster",""),IF($B138="Bengaluru","Bengaluru cluster",""),IF($D138="Below 0.85","Low vendor reliability",""),IF($E138="woven","Woven fabric",""),IF($F138&gt;350,"Large order (350+)",""),IF($G138="Tier-3","Tier-3 destination",""),IF($G138="Tier-2","Tier-2 destination",""),IF($H138="COD","COD payment",""),IF($I138="festive","Festive season",""),IF($I138="monsoon","Monsoon season",""))="","Baseline risk only",_xlfn.TEXTJOIN(", ",TRUE,IF($C138="Yes","New vendor",""),IF($B138="Tirupur","Tirupur cluster",""),IF($B138="Bengaluru","Bengaluru cluster",""),IF($D138="Below 0.85","Low vendor reliability",""),IF($E138="woven","Woven fabric",""),IF($F138&gt;350,"Large order (350+)",""),IF($G138="Tier-3","Tier-3 destination",""),IF($G138="Tier-2","Tier-2 destination",""),IF($H138="COD","COD payment",""),IF($I138="festive","Festive season",""),IF($I138="monsoon","Monsoon season",""))))</f>
        <v/>
      </c>
      <c r="O138" s="9">
        <f>IF($B138="","",IF(AND($L138="High",$M138="High"),"Escalate — high delay AND return risk: alternate vendor, add buffer, check sizing and payment",IF($L138="High","High delay risk — add a lead-time buffer or use a faster cluster",IF($M138="High","High return risk — tighten sizing guidance; consider a prepaid incentive",IF(OR($L138="Medium",$M138="Medium"),"Moderate risk — keep this order on the watch list","Low risk — no action needed")))))</f>
        <v/>
      </c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7">
        <f>IF($B139="","",MIN(100,10+IF($C139="Yes",22,0)+IF($B139="Tirupur",14,0)+IF($B139="Bengaluru",4,0)+IF($D139="Below 0.85",12,0)+IF($E139="woven",12,0)+IF($F139&gt;350,8,0)+IF($G139="Tier-3",10,0)+IF($G139="Tier-2",5,0)+IF($H139="COD",2,0)+IF($I139="festive",12,0)+IF($I139="monsoon",8,0)+IF(AND($I139="monsoon",$E139="woven"),10,0)+IF(AND($C139="Yes",$B139="Tirupur"),10,0)))</f>
        <v/>
      </c>
      <c r="K139" s="7">
        <f>IF($B139="","",MIN(100,15+IF($C139="Yes",10,0)+IF($B139="Tirupur",3,0)+IF($D139="Below 0.85",6,0)+IF($E139="woven",5,0)+IF($G139="Tier-3",14,0)+IF($G139="Tier-2",7,0)+IF($H139="COD",22,0)+IF($I139="festive",10,0)+IF($I139="monsoon",3,0)+IF(AND($I139="monsoon",$E139="woven"),3,0)+IF(AND($I139="festive",$H139="COD"),14,0)+IF(AND($C139="Yes",$B139="Tirupur"),2,0)+IF($J139&gt;=60,15,IF($J139&gt;=40,8,0))))</f>
        <v/>
      </c>
      <c r="L139" s="8">
        <f>IF($J139="","",IF($J139&lt;=35,"Low",IF($J139&lt;=65,"Medium","High")))</f>
        <v/>
      </c>
      <c r="M139" s="8">
        <f>IF($K139="","",IF($K139&lt;=35,"Low",IF($K139&lt;=65,"Medium","High")))</f>
        <v/>
      </c>
      <c r="N139" s="9">
        <f>IF($B139="","",IF(_xlfn.TEXTJOIN(", ",TRUE,IF($C139="Yes","New vendor",""),IF($B139="Tirupur","Tirupur cluster",""),IF($B139="Bengaluru","Bengaluru cluster",""),IF($D139="Below 0.85","Low vendor reliability",""),IF($E139="woven","Woven fabric",""),IF($F139&gt;350,"Large order (350+)",""),IF($G139="Tier-3","Tier-3 destination",""),IF($G139="Tier-2","Tier-2 destination",""),IF($H139="COD","COD payment",""),IF($I139="festive","Festive season",""),IF($I139="monsoon","Monsoon season",""))="","Baseline risk only",_xlfn.TEXTJOIN(", ",TRUE,IF($C139="Yes","New vendor",""),IF($B139="Tirupur","Tirupur cluster",""),IF($B139="Bengaluru","Bengaluru cluster",""),IF($D139="Below 0.85","Low vendor reliability",""),IF($E139="woven","Woven fabric",""),IF($F139&gt;350,"Large order (350+)",""),IF($G139="Tier-3","Tier-3 destination",""),IF($G139="Tier-2","Tier-2 destination",""),IF($H139="COD","COD payment",""),IF($I139="festive","Festive season",""),IF($I139="monsoon","Monsoon season",""))))</f>
        <v/>
      </c>
      <c r="O139" s="9">
        <f>IF($B139="","",IF(AND($L139="High",$M139="High"),"Escalate — high delay AND return risk: alternate vendor, add buffer, check sizing and payment",IF($L139="High","High delay risk — add a lead-time buffer or use a faster cluster",IF($M139="High","High return risk — tighten sizing guidance; consider a prepaid incentive",IF(OR($L139="Medium",$M139="Medium"),"Moderate risk — keep this order on the watch list","Low risk — no action needed")))))</f>
        <v/>
      </c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7">
        <f>IF($B140="","",MIN(100,10+IF($C140="Yes",22,0)+IF($B140="Tirupur",14,0)+IF($B140="Bengaluru",4,0)+IF($D140="Below 0.85",12,0)+IF($E140="woven",12,0)+IF($F140&gt;350,8,0)+IF($G140="Tier-3",10,0)+IF($G140="Tier-2",5,0)+IF($H140="COD",2,0)+IF($I140="festive",12,0)+IF($I140="monsoon",8,0)+IF(AND($I140="monsoon",$E140="woven"),10,0)+IF(AND($C140="Yes",$B140="Tirupur"),10,0)))</f>
        <v/>
      </c>
      <c r="K140" s="7">
        <f>IF($B140="","",MIN(100,15+IF($C140="Yes",10,0)+IF($B140="Tirupur",3,0)+IF($D140="Below 0.85",6,0)+IF($E140="woven",5,0)+IF($G140="Tier-3",14,0)+IF($G140="Tier-2",7,0)+IF($H140="COD",22,0)+IF($I140="festive",10,0)+IF($I140="monsoon",3,0)+IF(AND($I140="monsoon",$E140="woven"),3,0)+IF(AND($I140="festive",$H140="COD"),14,0)+IF(AND($C140="Yes",$B140="Tirupur"),2,0)+IF($J140&gt;=60,15,IF($J140&gt;=40,8,0))))</f>
        <v/>
      </c>
      <c r="L140" s="8">
        <f>IF($J140="","",IF($J140&lt;=35,"Low",IF($J140&lt;=65,"Medium","High")))</f>
        <v/>
      </c>
      <c r="M140" s="8">
        <f>IF($K140="","",IF($K140&lt;=35,"Low",IF($K140&lt;=65,"Medium","High")))</f>
        <v/>
      </c>
      <c r="N140" s="9">
        <f>IF($B140="","",IF(_xlfn.TEXTJOIN(", ",TRUE,IF($C140="Yes","New vendor",""),IF($B140="Tirupur","Tirupur cluster",""),IF($B140="Bengaluru","Bengaluru cluster",""),IF($D140="Below 0.85","Low vendor reliability",""),IF($E140="woven","Woven fabric",""),IF($F140&gt;350,"Large order (350+)",""),IF($G140="Tier-3","Tier-3 destination",""),IF($G140="Tier-2","Tier-2 destination",""),IF($H140="COD","COD payment",""),IF($I140="festive","Festive season",""),IF($I140="monsoon","Monsoon season",""))="","Baseline risk only",_xlfn.TEXTJOIN(", ",TRUE,IF($C140="Yes","New vendor",""),IF($B140="Tirupur","Tirupur cluster",""),IF($B140="Bengaluru","Bengaluru cluster",""),IF($D140="Below 0.85","Low vendor reliability",""),IF($E140="woven","Woven fabric",""),IF($F140&gt;350,"Large order (350+)",""),IF($G140="Tier-3","Tier-3 destination",""),IF($G140="Tier-2","Tier-2 destination",""),IF($H140="COD","COD payment",""),IF($I140="festive","Festive season",""),IF($I140="monsoon","Monsoon season",""))))</f>
        <v/>
      </c>
      <c r="O140" s="9">
        <f>IF($B140="","",IF(AND($L140="High",$M140="High"),"Escalate — high delay AND return risk: alternate vendor, add buffer, check sizing and payment",IF($L140="High","High delay risk — add a lead-time buffer or use a faster cluster",IF($M140="High","High return risk — tighten sizing guidance; consider a prepaid incentive",IF(OR($L140="Medium",$M140="Medium"),"Moderate risk — keep this order on the watch list","Low risk — no action needed")))))</f>
        <v/>
      </c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7">
        <f>IF($B141="","",MIN(100,10+IF($C141="Yes",22,0)+IF($B141="Tirupur",14,0)+IF($B141="Bengaluru",4,0)+IF($D141="Below 0.85",12,0)+IF($E141="woven",12,0)+IF($F141&gt;350,8,0)+IF($G141="Tier-3",10,0)+IF($G141="Tier-2",5,0)+IF($H141="COD",2,0)+IF($I141="festive",12,0)+IF($I141="monsoon",8,0)+IF(AND($I141="monsoon",$E141="woven"),10,0)+IF(AND($C141="Yes",$B141="Tirupur"),10,0)))</f>
        <v/>
      </c>
      <c r="K141" s="7">
        <f>IF($B141="","",MIN(100,15+IF($C141="Yes",10,0)+IF($B141="Tirupur",3,0)+IF($D141="Below 0.85",6,0)+IF($E141="woven",5,0)+IF($G141="Tier-3",14,0)+IF($G141="Tier-2",7,0)+IF($H141="COD",22,0)+IF($I141="festive",10,0)+IF($I141="monsoon",3,0)+IF(AND($I141="monsoon",$E141="woven"),3,0)+IF(AND($I141="festive",$H141="COD"),14,0)+IF(AND($C141="Yes",$B141="Tirupur"),2,0)+IF($J141&gt;=60,15,IF($J141&gt;=40,8,0))))</f>
        <v/>
      </c>
      <c r="L141" s="8">
        <f>IF($J141="","",IF($J141&lt;=35,"Low",IF($J141&lt;=65,"Medium","High")))</f>
        <v/>
      </c>
      <c r="M141" s="8">
        <f>IF($K141="","",IF($K141&lt;=35,"Low",IF($K141&lt;=65,"Medium","High")))</f>
        <v/>
      </c>
      <c r="N141" s="9">
        <f>IF($B141="","",IF(_xlfn.TEXTJOIN(", ",TRUE,IF($C141="Yes","New vendor",""),IF($B141="Tirupur","Tirupur cluster",""),IF($B141="Bengaluru","Bengaluru cluster",""),IF($D141="Below 0.85","Low vendor reliability",""),IF($E141="woven","Woven fabric",""),IF($F141&gt;350,"Large order (350+)",""),IF($G141="Tier-3","Tier-3 destination",""),IF($G141="Tier-2","Tier-2 destination",""),IF($H141="COD","COD payment",""),IF($I141="festive","Festive season",""),IF($I141="monsoon","Monsoon season",""))="","Baseline risk only",_xlfn.TEXTJOIN(", ",TRUE,IF($C141="Yes","New vendor",""),IF($B141="Tirupur","Tirupur cluster",""),IF($B141="Bengaluru","Bengaluru cluster",""),IF($D141="Below 0.85","Low vendor reliability",""),IF($E141="woven","Woven fabric",""),IF($F141&gt;350,"Large order (350+)",""),IF($G141="Tier-3","Tier-3 destination",""),IF($G141="Tier-2","Tier-2 destination",""),IF($H141="COD","COD payment",""),IF($I141="festive","Festive season",""),IF($I141="monsoon","Monsoon season",""))))</f>
        <v/>
      </c>
      <c r="O141" s="9">
        <f>IF($B141="","",IF(AND($L141="High",$M141="High"),"Escalate — high delay AND return risk: alternate vendor, add buffer, check sizing and payment",IF($L141="High","High delay risk — add a lead-time buffer or use a faster cluster",IF($M141="High","High return risk — tighten sizing guidance; consider a prepaid incentive",IF(OR($L141="Medium",$M141="Medium"),"Moderate risk — keep this order on the watch list","Low risk — no action needed")))))</f>
        <v/>
      </c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7">
        <f>IF($B142="","",MIN(100,10+IF($C142="Yes",22,0)+IF($B142="Tirupur",14,0)+IF($B142="Bengaluru",4,0)+IF($D142="Below 0.85",12,0)+IF($E142="woven",12,0)+IF($F142&gt;350,8,0)+IF($G142="Tier-3",10,0)+IF($G142="Tier-2",5,0)+IF($H142="COD",2,0)+IF($I142="festive",12,0)+IF($I142="monsoon",8,0)+IF(AND($I142="monsoon",$E142="woven"),10,0)+IF(AND($C142="Yes",$B142="Tirupur"),10,0)))</f>
        <v/>
      </c>
      <c r="K142" s="7">
        <f>IF($B142="","",MIN(100,15+IF($C142="Yes",10,0)+IF($B142="Tirupur",3,0)+IF($D142="Below 0.85",6,0)+IF($E142="woven",5,0)+IF($G142="Tier-3",14,0)+IF($G142="Tier-2",7,0)+IF($H142="COD",22,0)+IF($I142="festive",10,0)+IF($I142="monsoon",3,0)+IF(AND($I142="monsoon",$E142="woven"),3,0)+IF(AND($I142="festive",$H142="COD"),14,0)+IF(AND($C142="Yes",$B142="Tirupur"),2,0)+IF($J142&gt;=60,15,IF($J142&gt;=40,8,0))))</f>
        <v/>
      </c>
      <c r="L142" s="8">
        <f>IF($J142="","",IF($J142&lt;=35,"Low",IF($J142&lt;=65,"Medium","High")))</f>
        <v/>
      </c>
      <c r="M142" s="8">
        <f>IF($K142="","",IF($K142&lt;=35,"Low",IF($K142&lt;=65,"Medium","High")))</f>
        <v/>
      </c>
      <c r="N142" s="9">
        <f>IF($B142="","",IF(_xlfn.TEXTJOIN(", ",TRUE,IF($C142="Yes","New vendor",""),IF($B142="Tirupur","Tirupur cluster",""),IF($B142="Bengaluru","Bengaluru cluster",""),IF($D142="Below 0.85","Low vendor reliability",""),IF($E142="woven","Woven fabric",""),IF($F142&gt;350,"Large order (350+)",""),IF($G142="Tier-3","Tier-3 destination",""),IF($G142="Tier-2","Tier-2 destination",""),IF($H142="COD","COD payment",""),IF($I142="festive","Festive season",""),IF($I142="monsoon","Monsoon season",""))="","Baseline risk only",_xlfn.TEXTJOIN(", ",TRUE,IF($C142="Yes","New vendor",""),IF($B142="Tirupur","Tirupur cluster",""),IF($B142="Bengaluru","Bengaluru cluster",""),IF($D142="Below 0.85","Low vendor reliability",""),IF($E142="woven","Woven fabric",""),IF($F142&gt;350,"Large order (350+)",""),IF($G142="Tier-3","Tier-3 destination",""),IF($G142="Tier-2","Tier-2 destination",""),IF($H142="COD","COD payment",""),IF($I142="festive","Festive season",""),IF($I142="monsoon","Monsoon season",""))))</f>
        <v/>
      </c>
      <c r="O142" s="9">
        <f>IF($B142="","",IF(AND($L142="High",$M142="High"),"Escalate — high delay AND return risk: alternate vendor, add buffer, check sizing and payment",IF($L142="High","High delay risk — add a lead-time buffer or use a faster cluster",IF($M142="High","High return risk — tighten sizing guidance; consider a prepaid incentive",IF(OR($L142="Medium",$M142="Medium"),"Moderate risk — keep this order on the watch list","Low risk — no action needed")))))</f>
        <v/>
      </c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7">
        <f>IF($B143="","",MIN(100,10+IF($C143="Yes",22,0)+IF($B143="Tirupur",14,0)+IF($B143="Bengaluru",4,0)+IF($D143="Below 0.85",12,0)+IF($E143="woven",12,0)+IF($F143&gt;350,8,0)+IF($G143="Tier-3",10,0)+IF($G143="Tier-2",5,0)+IF($H143="COD",2,0)+IF($I143="festive",12,0)+IF($I143="monsoon",8,0)+IF(AND($I143="monsoon",$E143="woven"),10,0)+IF(AND($C143="Yes",$B143="Tirupur"),10,0)))</f>
        <v/>
      </c>
      <c r="K143" s="7">
        <f>IF($B143="","",MIN(100,15+IF($C143="Yes",10,0)+IF($B143="Tirupur",3,0)+IF($D143="Below 0.85",6,0)+IF($E143="woven",5,0)+IF($G143="Tier-3",14,0)+IF($G143="Tier-2",7,0)+IF($H143="COD",22,0)+IF($I143="festive",10,0)+IF($I143="monsoon",3,0)+IF(AND($I143="monsoon",$E143="woven"),3,0)+IF(AND($I143="festive",$H143="COD"),14,0)+IF(AND($C143="Yes",$B143="Tirupur"),2,0)+IF($J143&gt;=60,15,IF($J143&gt;=40,8,0))))</f>
        <v/>
      </c>
      <c r="L143" s="8">
        <f>IF($J143="","",IF($J143&lt;=35,"Low",IF($J143&lt;=65,"Medium","High")))</f>
        <v/>
      </c>
      <c r="M143" s="8">
        <f>IF($K143="","",IF($K143&lt;=35,"Low",IF($K143&lt;=65,"Medium","High")))</f>
        <v/>
      </c>
      <c r="N143" s="9">
        <f>IF($B143="","",IF(_xlfn.TEXTJOIN(", ",TRUE,IF($C143="Yes","New vendor",""),IF($B143="Tirupur","Tirupur cluster",""),IF($B143="Bengaluru","Bengaluru cluster",""),IF($D143="Below 0.85","Low vendor reliability",""),IF($E143="woven","Woven fabric",""),IF($F143&gt;350,"Large order (350+)",""),IF($G143="Tier-3","Tier-3 destination",""),IF($G143="Tier-2","Tier-2 destination",""),IF($H143="COD","COD payment",""),IF($I143="festive","Festive season",""),IF($I143="monsoon","Monsoon season",""))="","Baseline risk only",_xlfn.TEXTJOIN(", ",TRUE,IF($C143="Yes","New vendor",""),IF($B143="Tirupur","Tirupur cluster",""),IF($B143="Bengaluru","Bengaluru cluster",""),IF($D143="Below 0.85","Low vendor reliability",""),IF($E143="woven","Woven fabric",""),IF($F143&gt;350,"Large order (350+)",""),IF($G143="Tier-3","Tier-3 destination",""),IF($G143="Tier-2","Tier-2 destination",""),IF($H143="COD","COD payment",""),IF($I143="festive","Festive season",""),IF($I143="monsoon","Monsoon season",""))))</f>
        <v/>
      </c>
      <c r="O143" s="9">
        <f>IF($B143="","",IF(AND($L143="High",$M143="High"),"Escalate — high delay AND return risk: alternate vendor, add buffer, check sizing and payment",IF($L143="High","High delay risk — add a lead-time buffer or use a faster cluster",IF($M143="High","High return risk — tighten sizing guidance; consider a prepaid incentive",IF(OR($L143="Medium",$M143="Medium"),"Moderate risk — keep this order on the watch list","Low risk — no action needed")))))</f>
        <v/>
      </c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7">
        <f>IF($B144="","",MIN(100,10+IF($C144="Yes",22,0)+IF($B144="Tirupur",14,0)+IF($B144="Bengaluru",4,0)+IF($D144="Below 0.85",12,0)+IF($E144="woven",12,0)+IF($F144&gt;350,8,0)+IF($G144="Tier-3",10,0)+IF($G144="Tier-2",5,0)+IF($H144="COD",2,0)+IF($I144="festive",12,0)+IF($I144="monsoon",8,0)+IF(AND($I144="monsoon",$E144="woven"),10,0)+IF(AND($C144="Yes",$B144="Tirupur"),10,0)))</f>
        <v/>
      </c>
      <c r="K144" s="7">
        <f>IF($B144="","",MIN(100,15+IF($C144="Yes",10,0)+IF($B144="Tirupur",3,0)+IF($D144="Below 0.85",6,0)+IF($E144="woven",5,0)+IF($G144="Tier-3",14,0)+IF($G144="Tier-2",7,0)+IF($H144="COD",22,0)+IF($I144="festive",10,0)+IF($I144="monsoon",3,0)+IF(AND($I144="monsoon",$E144="woven"),3,0)+IF(AND($I144="festive",$H144="COD"),14,0)+IF(AND($C144="Yes",$B144="Tirupur"),2,0)+IF($J144&gt;=60,15,IF($J144&gt;=40,8,0))))</f>
        <v/>
      </c>
      <c r="L144" s="8">
        <f>IF($J144="","",IF($J144&lt;=35,"Low",IF($J144&lt;=65,"Medium","High")))</f>
        <v/>
      </c>
      <c r="M144" s="8">
        <f>IF($K144="","",IF($K144&lt;=35,"Low",IF($K144&lt;=65,"Medium","High")))</f>
        <v/>
      </c>
      <c r="N144" s="9">
        <f>IF($B144="","",IF(_xlfn.TEXTJOIN(", ",TRUE,IF($C144="Yes","New vendor",""),IF($B144="Tirupur","Tirupur cluster",""),IF($B144="Bengaluru","Bengaluru cluster",""),IF($D144="Below 0.85","Low vendor reliability",""),IF($E144="woven","Woven fabric",""),IF($F144&gt;350,"Large order (350+)",""),IF($G144="Tier-3","Tier-3 destination",""),IF($G144="Tier-2","Tier-2 destination",""),IF($H144="COD","COD payment",""),IF($I144="festive","Festive season",""),IF($I144="monsoon","Monsoon season",""))="","Baseline risk only",_xlfn.TEXTJOIN(", ",TRUE,IF($C144="Yes","New vendor",""),IF($B144="Tirupur","Tirupur cluster",""),IF($B144="Bengaluru","Bengaluru cluster",""),IF($D144="Below 0.85","Low vendor reliability",""),IF($E144="woven","Woven fabric",""),IF($F144&gt;350,"Large order (350+)",""),IF($G144="Tier-3","Tier-3 destination",""),IF($G144="Tier-2","Tier-2 destination",""),IF($H144="COD","COD payment",""),IF($I144="festive","Festive season",""),IF($I144="monsoon","Monsoon season",""))))</f>
        <v/>
      </c>
      <c r="O144" s="9">
        <f>IF($B144="","",IF(AND($L144="High",$M144="High"),"Escalate — high delay AND return risk: alternate vendor, add buffer, check sizing and payment",IF($L144="High","High delay risk — add a lead-time buffer or use a faster cluster",IF($M144="High","High return risk — tighten sizing guidance; consider a prepaid incentive",IF(OR($L144="Medium",$M144="Medium"),"Moderate risk — keep this order on the watch list","Low risk — no action needed")))))</f>
        <v/>
      </c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7">
        <f>IF($B145="","",MIN(100,10+IF($C145="Yes",22,0)+IF($B145="Tirupur",14,0)+IF($B145="Bengaluru",4,0)+IF($D145="Below 0.85",12,0)+IF($E145="woven",12,0)+IF($F145&gt;350,8,0)+IF($G145="Tier-3",10,0)+IF($G145="Tier-2",5,0)+IF($H145="COD",2,0)+IF($I145="festive",12,0)+IF($I145="monsoon",8,0)+IF(AND($I145="monsoon",$E145="woven"),10,0)+IF(AND($C145="Yes",$B145="Tirupur"),10,0)))</f>
        <v/>
      </c>
      <c r="K145" s="7">
        <f>IF($B145="","",MIN(100,15+IF($C145="Yes",10,0)+IF($B145="Tirupur",3,0)+IF($D145="Below 0.85",6,0)+IF($E145="woven",5,0)+IF($G145="Tier-3",14,0)+IF($G145="Tier-2",7,0)+IF($H145="COD",22,0)+IF($I145="festive",10,0)+IF($I145="monsoon",3,0)+IF(AND($I145="monsoon",$E145="woven"),3,0)+IF(AND($I145="festive",$H145="COD"),14,0)+IF(AND($C145="Yes",$B145="Tirupur"),2,0)+IF($J145&gt;=60,15,IF($J145&gt;=40,8,0))))</f>
        <v/>
      </c>
      <c r="L145" s="8">
        <f>IF($J145="","",IF($J145&lt;=35,"Low",IF($J145&lt;=65,"Medium","High")))</f>
        <v/>
      </c>
      <c r="M145" s="8">
        <f>IF($K145="","",IF($K145&lt;=35,"Low",IF($K145&lt;=65,"Medium","High")))</f>
        <v/>
      </c>
      <c r="N145" s="9">
        <f>IF($B145="","",IF(_xlfn.TEXTJOIN(", ",TRUE,IF($C145="Yes","New vendor",""),IF($B145="Tirupur","Tirupur cluster",""),IF($B145="Bengaluru","Bengaluru cluster",""),IF($D145="Below 0.85","Low vendor reliability",""),IF($E145="woven","Woven fabric",""),IF($F145&gt;350,"Large order (350+)",""),IF($G145="Tier-3","Tier-3 destination",""),IF($G145="Tier-2","Tier-2 destination",""),IF($H145="COD","COD payment",""),IF($I145="festive","Festive season",""),IF($I145="monsoon","Monsoon season",""))="","Baseline risk only",_xlfn.TEXTJOIN(", ",TRUE,IF($C145="Yes","New vendor",""),IF($B145="Tirupur","Tirupur cluster",""),IF($B145="Bengaluru","Bengaluru cluster",""),IF($D145="Below 0.85","Low vendor reliability",""),IF($E145="woven","Woven fabric",""),IF($F145&gt;350,"Large order (350+)",""),IF($G145="Tier-3","Tier-3 destination",""),IF($G145="Tier-2","Tier-2 destination",""),IF($H145="COD","COD payment",""),IF($I145="festive","Festive season",""),IF($I145="monsoon","Monsoon season",""))))</f>
        <v/>
      </c>
      <c r="O145" s="9">
        <f>IF($B145="","",IF(AND($L145="High",$M145="High"),"Escalate — high delay AND return risk: alternate vendor, add buffer, check sizing and payment",IF($L145="High","High delay risk — add a lead-time buffer or use a faster cluster",IF($M145="High","High return risk — tighten sizing guidance; consider a prepaid incentive",IF(OR($L145="Medium",$M145="Medium"),"Moderate risk — keep this order on the watch list","Low risk — no action needed")))))</f>
        <v/>
      </c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7">
        <f>IF($B146="","",MIN(100,10+IF($C146="Yes",22,0)+IF($B146="Tirupur",14,0)+IF($B146="Bengaluru",4,0)+IF($D146="Below 0.85",12,0)+IF($E146="woven",12,0)+IF($F146&gt;350,8,0)+IF($G146="Tier-3",10,0)+IF($G146="Tier-2",5,0)+IF($H146="COD",2,0)+IF($I146="festive",12,0)+IF($I146="monsoon",8,0)+IF(AND($I146="monsoon",$E146="woven"),10,0)+IF(AND($C146="Yes",$B146="Tirupur"),10,0)))</f>
        <v/>
      </c>
      <c r="K146" s="7">
        <f>IF($B146="","",MIN(100,15+IF($C146="Yes",10,0)+IF($B146="Tirupur",3,0)+IF($D146="Below 0.85",6,0)+IF($E146="woven",5,0)+IF($G146="Tier-3",14,0)+IF($G146="Tier-2",7,0)+IF($H146="COD",22,0)+IF($I146="festive",10,0)+IF($I146="monsoon",3,0)+IF(AND($I146="monsoon",$E146="woven"),3,0)+IF(AND($I146="festive",$H146="COD"),14,0)+IF(AND($C146="Yes",$B146="Tirupur"),2,0)+IF($J146&gt;=60,15,IF($J146&gt;=40,8,0))))</f>
        <v/>
      </c>
      <c r="L146" s="8">
        <f>IF($J146="","",IF($J146&lt;=35,"Low",IF($J146&lt;=65,"Medium","High")))</f>
        <v/>
      </c>
      <c r="M146" s="8">
        <f>IF($K146="","",IF($K146&lt;=35,"Low",IF($K146&lt;=65,"Medium","High")))</f>
        <v/>
      </c>
      <c r="N146" s="9">
        <f>IF($B146="","",IF(_xlfn.TEXTJOIN(", ",TRUE,IF($C146="Yes","New vendor",""),IF($B146="Tirupur","Tirupur cluster",""),IF($B146="Bengaluru","Bengaluru cluster",""),IF($D146="Below 0.85","Low vendor reliability",""),IF($E146="woven","Woven fabric",""),IF($F146&gt;350,"Large order (350+)",""),IF($G146="Tier-3","Tier-3 destination",""),IF($G146="Tier-2","Tier-2 destination",""),IF($H146="COD","COD payment",""),IF($I146="festive","Festive season",""),IF($I146="monsoon","Monsoon season",""))="","Baseline risk only",_xlfn.TEXTJOIN(", ",TRUE,IF($C146="Yes","New vendor",""),IF($B146="Tirupur","Tirupur cluster",""),IF($B146="Bengaluru","Bengaluru cluster",""),IF($D146="Below 0.85","Low vendor reliability",""),IF($E146="woven","Woven fabric",""),IF($F146&gt;350,"Large order (350+)",""),IF($G146="Tier-3","Tier-3 destination",""),IF($G146="Tier-2","Tier-2 destination",""),IF($H146="COD","COD payment",""),IF($I146="festive","Festive season",""),IF($I146="monsoon","Monsoon season",""))))</f>
        <v/>
      </c>
      <c r="O146" s="9">
        <f>IF($B146="","",IF(AND($L146="High",$M146="High"),"Escalate — high delay AND return risk: alternate vendor, add buffer, check sizing and payment",IF($L146="High","High delay risk — add a lead-time buffer or use a faster cluster",IF($M146="High","High return risk — tighten sizing guidance; consider a prepaid incentive",IF(OR($L146="Medium",$M146="Medium"),"Moderate risk — keep this order on the watch list","Low risk — no action needed")))))</f>
        <v/>
      </c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7">
        <f>IF($B147="","",MIN(100,10+IF($C147="Yes",22,0)+IF($B147="Tirupur",14,0)+IF($B147="Bengaluru",4,0)+IF($D147="Below 0.85",12,0)+IF($E147="woven",12,0)+IF($F147&gt;350,8,0)+IF($G147="Tier-3",10,0)+IF($G147="Tier-2",5,0)+IF($H147="COD",2,0)+IF($I147="festive",12,0)+IF($I147="monsoon",8,0)+IF(AND($I147="monsoon",$E147="woven"),10,0)+IF(AND($C147="Yes",$B147="Tirupur"),10,0)))</f>
        <v/>
      </c>
      <c r="K147" s="7">
        <f>IF($B147="","",MIN(100,15+IF($C147="Yes",10,0)+IF($B147="Tirupur",3,0)+IF($D147="Below 0.85",6,0)+IF($E147="woven",5,0)+IF($G147="Tier-3",14,0)+IF($G147="Tier-2",7,0)+IF($H147="COD",22,0)+IF($I147="festive",10,0)+IF($I147="monsoon",3,0)+IF(AND($I147="monsoon",$E147="woven"),3,0)+IF(AND($I147="festive",$H147="COD"),14,0)+IF(AND($C147="Yes",$B147="Tirupur"),2,0)+IF($J147&gt;=60,15,IF($J147&gt;=40,8,0))))</f>
        <v/>
      </c>
      <c r="L147" s="8">
        <f>IF($J147="","",IF($J147&lt;=35,"Low",IF($J147&lt;=65,"Medium","High")))</f>
        <v/>
      </c>
      <c r="M147" s="8">
        <f>IF($K147="","",IF($K147&lt;=35,"Low",IF($K147&lt;=65,"Medium","High")))</f>
        <v/>
      </c>
      <c r="N147" s="9">
        <f>IF($B147="","",IF(_xlfn.TEXTJOIN(", ",TRUE,IF($C147="Yes","New vendor",""),IF($B147="Tirupur","Tirupur cluster",""),IF($B147="Bengaluru","Bengaluru cluster",""),IF($D147="Below 0.85","Low vendor reliability",""),IF($E147="woven","Woven fabric",""),IF($F147&gt;350,"Large order (350+)",""),IF($G147="Tier-3","Tier-3 destination",""),IF($G147="Tier-2","Tier-2 destination",""),IF($H147="COD","COD payment",""),IF($I147="festive","Festive season",""),IF($I147="monsoon","Monsoon season",""))="","Baseline risk only",_xlfn.TEXTJOIN(", ",TRUE,IF($C147="Yes","New vendor",""),IF($B147="Tirupur","Tirupur cluster",""),IF($B147="Bengaluru","Bengaluru cluster",""),IF($D147="Below 0.85","Low vendor reliability",""),IF($E147="woven","Woven fabric",""),IF($F147&gt;350,"Large order (350+)",""),IF($G147="Tier-3","Tier-3 destination",""),IF($G147="Tier-2","Tier-2 destination",""),IF($H147="COD","COD payment",""),IF($I147="festive","Festive season",""),IF($I147="monsoon","Monsoon season",""))))</f>
        <v/>
      </c>
      <c r="O147" s="9">
        <f>IF($B147="","",IF(AND($L147="High",$M147="High"),"Escalate — high delay AND return risk: alternate vendor, add buffer, check sizing and payment",IF($L147="High","High delay risk — add a lead-time buffer or use a faster cluster",IF($M147="High","High return risk — tighten sizing guidance; consider a prepaid incentive",IF(OR($L147="Medium",$M147="Medium"),"Moderate risk — keep this order on the watch list","Low risk — no action needed")))))</f>
        <v/>
      </c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7">
        <f>IF($B148="","",MIN(100,10+IF($C148="Yes",22,0)+IF($B148="Tirupur",14,0)+IF($B148="Bengaluru",4,0)+IF($D148="Below 0.85",12,0)+IF($E148="woven",12,0)+IF($F148&gt;350,8,0)+IF($G148="Tier-3",10,0)+IF($G148="Tier-2",5,0)+IF($H148="COD",2,0)+IF($I148="festive",12,0)+IF($I148="monsoon",8,0)+IF(AND($I148="monsoon",$E148="woven"),10,0)+IF(AND($C148="Yes",$B148="Tirupur"),10,0)))</f>
        <v/>
      </c>
      <c r="K148" s="7">
        <f>IF($B148="","",MIN(100,15+IF($C148="Yes",10,0)+IF($B148="Tirupur",3,0)+IF($D148="Below 0.85",6,0)+IF($E148="woven",5,0)+IF($G148="Tier-3",14,0)+IF($G148="Tier-2",7,0)+IF($H148="COD",22,0)+IF($I148="festive",10,0)+IF($I148="monsoon",3,0)+IF(AND($I148="monsoon",$E148="woven"),3,0)+IF(AND($I148="festive",$H148="COD"),14,0)+IF(AND($C148="Yes",$B148="Tirupur"),2,0)+IF($J148&gt;=60,15,IF($J148&gt;=40,8,0))))</f>
        <v/>
      </c>
      <c r="L148" s="8">
        <f>IF($J148="","",IF($J148&lt;=35,"Low",IF($J148&lt;=65,"Medium","High")))</f>
        <v/>
      </c>
      <c r="M148" s="8">
        <f>IF($K148="","",IF($K148&lt;=35,"Low",IF($K148&lt;=65,"Medium","High")))</f>
        <v/>
      </c>
      <c r="N148" s="9">
        <f>IF($B148="","",IF(_xlfn.TEXTJOIN(", ",TRUE,IF($C148="Yes","New vendor",""),IF($B148="Tirupur","Tirupur cluster",""),IF($B148="Bengaluru","Bengaluru cluster",""),IF($D148="Below 0.85","Low vendor reliability",""),IF($E148="woven","Woven fabric",""),IF($F148&gt;350,"Large order (350+)",""),IF($G148="Tier-3","Tier-3 destination",""),IF($G148="Tier-2","Tier-2 destination",""),IF($H148="COD","COD payment",""),IF($I148="festive","Festive season",""),IF($I148="monsoon","Monsoon season",""))="","Baseline risk only",_xlfn.TEXTJOIN(", ",TRUE,IF($C148="Yes","New vendor",""),IF($B148="Tirupur","Tirupur cluster",""),IF($B148="Bengaluru","Bengaluru cluster",""),IF($D148="Below 0.85","Low vendor reliability",""),IF($E148="woven","Woven fabric",""),IF($F148&gt;350,"Large order (350+)",""),IF($G148="Tier-3","Tier-3 destination",""),IF($G148="Tier-2","Tier-2 destination",""),IF($H148="COD","COD payment",""),IF($I148="festive","Festive season",""),IF($I148="monsoon","Monsoon season",""))))</f>
        <v/>
      </c>
      <c r="O148" s="9">
        <f>IF($B148="","",IF(AND($L148="High",$M148="High"),"Escalate — high delay AND return risk: alternate vendor, add buffer, check sizing and payment",IF($L148="High","High delay risk — add a lead-time buffer or use a faster cluster",IF($M148="High","High return risk — tighten sizing guidance; consider a prepaid incentive",IF(OR($L148="Medium",$M148="Medium"),"Moderate risk — keep this order on the watch list","Low risk — no action needed")))))</f>
        <v/>
      </c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7">
        <f>IF($B149="","",MIN(100,10+IF($C149="Yes",22,0)+IF($B149="Tirupur",14,0)+IF($B149="Bengaluru",4,0)+IF($D149="Below 0.85",12,0)+IF($E149="woven",12,0)+IF($F149&gt;350,8,0)+IF($G149="Tier-3",10,0)+IF($G149="Tier-2",5,0)+IF($H149="COD",2,0)+IF($I149="festive",12,0)+IF($I149="monsoon",8,0)+IF(AND($I149="monsoon",$E149="woven"),10,0)+IF(AND($C149="Yes",$B149="Tirupur"),10,0)))</f>
        <v/>
      </c>
      <c r="K149" s="7">
        <f>IF($B149="","",MIN(100,15+IF($C149="Yes",10,0)+IF($B149="Tirupur",3,0)+IF($D149="Below 0.85",6,0)+IF($E149="woven",5,0)+IF($G149="Tier-3",14,0)+IF($G149="Tier-2",7,0)+IF($H149="COD",22,0)+IF($I149="festive",10,0)+IF($I149="monsoon",3,0)+IF(AND($I149="monsoon",$E149="woven"),3,0)+IF(AND($I149="festive",$H149="COD"),14,0)+IF(AND($C149="Yes",$B149="Tirupur"),2,0)+IF($J149&gt;=60,15,IF($J149&gt;=40,8,0))))</f>
        <v/>
      </c>
      <c r="L149" s="8">
        <f>IF($J149="","",IF($J149&lt;=35,"Low",IF($J149&lt;=65,"Medium","High")))</f>
        <v/>
      </c>
      <c r="M149" s="8">
        <f>IF($K149="","",IF($K149&lt;=35,"Low",IF($K149&lt;=65,"Medium","High")))</f>
        <v/>
      </c>
      <c r="N149" s="9">
        <f>IF($B149="","",IF(_xlfn.TEXTJOIN(", ",TRUE,IF($C149="Yes","New vendor",""),IF($B149="Tirupur","Tirupur cluster",""),IF($B149="Bengaluru","Bengaluru cluster",""),IF($D149="Below 0.85","Low vendor reliability",""),IF($E149="woven","Woven fabric",""),IF($F149&gt;350,"Large order (350+)",""),IF($G149="Tier-3","Tier-3 destination",""),IF($G149="Tier-2","Tier-2 destination",""),IF($H149="COD","COD payment",""),IF($I149="festive","Festive season",""),IF($I149="monsoon","Monsoon season",""))="","Baseline risk only",_xlfn.TEXTJOIN(", ",TRUE,IF($C149="Yes","New vendor",""),IF($B149="Tirupur","Tirupur cluster",""),IF($B149="Bengaluru","Bengaluru cluster",""),IF($D149="Below 0.85","Low vendor reliability",""),IF($E149="woven","Woven fabric",""),IF($F149&gt;350,"Large order (350+)",""),IF($G149="Tier-3","Tier-3 destination",""),IF($G149="Tier-2","Tier-2 destination",""),IF($H149="COD","COD payment",""),IF($I149="festive","Festive season",""),IF($I149="monsoon","Monsoon season",""))))</f>
        <v/>
      </c>
      <c r="O149" s="9">
        <f>IF($B149="","",IF(AND($L149="High",$M149="High"),"Escalate — high delay AND return risk: alternate vendor, add buffer, check sizing and payment",IF($L149="High","High delay risk — add a lead-time buffer or use a faster cluster",IF($M149="High","High return risk — tighten sizing guidance; consider a prepaid incentive",IF(OR($L149="Medium",$M149="Medium"),"Moderate risk — keep this order on the watch list","Low risk — no action needed")))))</f>
        <v/>
      </c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7">
        <f>IF($B150="","",MIN(100,10+IF($C150="Yes",22,0)+IF($B150="Tirupur",14,0)+IF($B150="Bengaluru",4,0)+IF($D150="Below 0.85",12,0)+IF($E150="woven",12,0)+IF($F150&gt;350,8,0)+IF($G150="Tier-3",10,0)+IF($G150="Tier-2",5,0)+IF($H150="COD",2,0)+IF($I150="festive",12,0)+IF($I150="monsoon",8,0)+IF(AND($I150="monsoon",$E150="woven"),10,0)+IF(AND($C150="Yes",$B150="Tirupur"),10,0)))</f>
        <v/>
      </c>
      <c r="K150" s="7">
        <f>IF($B150="","",MIN(100,15+IF($C150="Yes",10,0)+IF($B150="Tirupur",3,0)+IF($D150="Below 0.85",6,0)+IF($E150="woven",5,0)+IF($G150="Tier-3",14,0)+IF($G150="Tier-2",7,0)+IF($H150="COD",22,0)+IF($I150="festive",10,0)+IF($I150="monsoon",3,0)+IF(AND($I150="monsoon",$E150="woven"),3,0)+IF(AND($I150="festive",$H150="COD"),14,0)+IF(AND($C150="Yes",$B150="Tirupur"),2,0)+IF($J150&gt;=60,15,IF($J150&gt;=40,8,0))))</f>
        <v/>
      </c>
      <c r="L150" s="8">
        <f>IF($J150="","",IF($J150&lt;=35,"Low",IF($J150&lt;=65,"Medium","High")))</f>
        <v/>
      </c>
      <c r="M150" s="8">
        <f>IF($K150="","",IF($K150&lt;=35,"Low",IF($K150&lt;=65,"Medium","High")))</f>
        <v/>
      </c>
      <c r="N150" s="9">
        <f>IF($B150="","",IF(_xlfn.TEXTJOIN(", ",TRUE,IF($C150="Yes","New vendor",""),IF($B150="Tirupur","Tirupur cluster",""),IF($B150="Bengaluru","Bengaluru cluster",""),IF($D150="Below 0.85","Low vendor reliability",""),IF($E150="woven","Woven fabric",""),IF($F150&gt;350,"Large order (350+)",""),IF($G150="Tier-3","Tier-3 destination",""),IF($G150="Tier-2","Tier-2 destination",""),IF($H150="COD","COD payment",""),IF($I150="festive","Festive season",""),IF($I150="monsoon","Monsoon season",""))="","Baseline risk only",_xlfn.TEXTJOIN(", ",TRUE,IF($C150="Yes","New vendor",""),IF($B150="Tirupur","Tirupur cluster",""),IF($B150="Bengaluru","Bengaluru cluster",""),IF($D150="Below 0.85","Low vendor reliability",""),IF($E150="woven","Woven fabric",""),IF($F150&gt;350,"Large order (350+)",""),IF($G150="Tier-3","Tier-3 destination",""),IF($G150="Tier-2","Tier-2 destination",""),IF($H150="COD","COD payment",""),IF($I150="festive","Festive season",""),IF($I150="monsoon","Monsoon season",""))))</f>
        <v/>
      </c>
      <c r="O150" s="9">
        <f>IF($B150="","",IF(AND($L150="High",$M150="High"),"Escalate — high delay AND return risk: alternate vendor, add buffer, check sizing and payment",IF($L150="High","High delay risk — add a lead-time buffer or use a faster cluster",IF($M150="High","High return risk — tighten sizing guidance; consider a prepaid incentive",IF(OR($L150="Medium",$M150="Medium"),"Moderate risk — keep this order on the watch list","Low risk — no action needed")))))</f>
        <v/>
      </c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7">
        <f>IF($B151="","",MIN(100,10+IF($C151="Yes",22,0)+IF($B151="Tirupur",14,0)+IF($B151="Bengaluru",4,0)+IF($D151="Below 0.85",12,0)+IF($E151="woven",12,0)+IF($F151&gt;350,8,0)+IF($G151="Tier-3",10,0)+IF($G151="Tier-2",5,0)+IF($H151="COD",2,0)+IF($I151="festive",12,0)+IF($I151="monsoon",8,0)+IF(AND($I151="monsoon",$E151="woven"),10,0)+IF(AND($C151="Yes",$B151="Tirupur"),10,0)))</f>
        <v/>
      </c>
      <c r="K151" s="7">
        <f>IF($B151="","",MIN(100,15+IF($C151="Yes",10,0)+IF($B151="Tirupur",3,0)+IF($D151="Below 0.85",6,0)+IF($E151="woven",5,0)+IF($G151="Tier-3",14,0)+IF($G151="Tier-2",7,0)+IF($H151="COD",22,0)+IF($I151="festive",10,0)+IF($I151="monsoon",3,0)+IF(AND($I151="monsoon",$E151="woven"),3,0)+IF(AND($I151="festive",$H151="COD"),14,0)+IF(AND($C151="Yes",$B151="Tirupur"),2,0)+IF($J151&gt;=60,15,IF($J151&gt;=40,8,0))))</f>
        <v/>
      </c>
      <c r="L151" s="8">
        <f>IF($J151="","",IF($J151&lt;=35,"Low",IF($J151&lt;=65,"Medium","High")))</f>
        <v/>
      </c>
      <c r="M151" s="8">
        <f>IF($K151="","",IF($K151&lt;=35,"Low",IF($K151&lt;=65,"Medium","High")))</f>
        <v/>
      </c>
      <c r="N151" s="9">
        <f>IF($B151="","",IF(_xlfn.TEXTJOIN(", ",TRUE,IF($C151="Yes","New vendor",""),IF($B151="Tirupur","Tirupur cluster",""),IF($B151="Bengaluru","Bengaluru cluster",""),IF($D151="Below 0.85","Low vendor reliability",""),IF($E151="woven","Woven fabric",""),IF($F151&gt;350,"Large order (350+)",""),IF($G151="Tier-3","Tier-3 destination",""),IF($G151="Tier-2","Tier-2 destination",""),IF($H151="COD","COD payment",""),IF($I151="festive","Festive season",""),IF($I151="monsoon","Monsoon season",""))="","Baseline risk only",_xlfn.TEXTJOIN(", ",TRUE,IF($C151="Yes","New vendor",""),IF($B151="Tirupur","Tirupur cluster",""),IF($B151="Bengaluru","Bengaluru cluster",""),IF($D151="Below 0.85","Low vendor reliability",""),IF($E151="woven","Woven fabric",""),IF($F151&gt;350,"Large order (350+)",""),IF($G151="Tier-3","Tier-3 destination",""),IF($G151="Tier-2","Tier-2 destination",""),IF($H151="COD","COD payment",""),IF($I151="festive","Festive season",""),IF($I151="monsoon","Monsoon season",""))))</f>
        <v/>
      </c>
      <c r="O151" s="9">
        <f>IF($B151="","",IF(AND($L151="High",$M151="High"),"Escalate — high delay AND return risk: alternate vendor, add buffer, check sizing and payment",IF($L151="High","High delay risk — add a lead-time buffer or use a faster cluster",IF($M151="High","High return risk — tighten sizing guidance; consider a prepaid incentive",IF(OR($L151="Medium",$M151="Medium"),"Moderate risk — keep this order on the watch list","Low risk — no action needed")))))</f>
        <v/>
      </c>
    </row>
  </sheetData>
  <conditionalFormatting sqref="L2:M151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dataValidations count="7">
    <dataValidation sqref="B2:B151" showDropDown="0" showInputMessage="0" showErrorMessage="0" allowBlank="1" type="list">
      <formula1>"Tirupur,Bengaluru,Ludhiana,Delhi NCR"</formula1>
    </dataValidation>
    <dataValidation sqref="C2:C151" showDropDown="0" showInputMessage="0" showErrorMessage="0" allowBlank="1" type="list">
      <formula1>"Yes,No"</formula1>
    </dataValidation>
    <dataValidation sqref="D2:D151" showDropDown="0" showInputMessage="0" showErrorMessage="0" allowBlank="1" type="list">
      <formula1>"0.85 or above,Below 0.85"</formula1>
    </dataValidation>
    <dataValidation sqref="E2:E151" showDropDown="0" showInputMessage="0" showErrorMessage="0" allowBlank="1" type="list">
      <formula1>"knit,woven"</formula1>
    </dataValidation>
    <dataValidation sqref="G2:G151" showDropDown="0" showInputMessage="0" showErrorMessage="0" allowBlank="1" type="list">
      <formula1>"Tier-1,Tier-2,Tier-3"</formula1>
    </dataValidation>
    <dataValidation sqref="H2:H151" showDropDown="0" showInputMessage="0" showErrorMessage="0" allowBlank="1" type="list">
      <formula1>"COD,Prepaid"</formula1>
    </dataValidation>
    <dataValidation sqref="I2:I151" showDropDown="0" showInputMessage="0" showErrorMessage="0" allowBlank="1" type="list">
      <formula1>"normal,festive,monsoon"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0" t="inlineStr">
        <is>
          <t>Order book — live summary</t>
        </is>
      </c>
    </row>
    <row r="3">
      <c r="A3" s="11" t="inlineStr">
        <is>
          <t>Overview</t>
        </is>
      </c>
    </row>
    <row r="4">
      <c r="A4" s="12" t="inlineStr">
        <is>
          <t>Orders entered</t>
        </is>
      </c>
      <c r="B4" s="13">
        <f>COUNTA('Order book'!B2:B151)</f>
        <v/>
      </c>
    </row>
    <row r="5">
      <c r="A5" s="12" t="inlineStr">
        <is>
          <t>Average delay score</t>
        </is>
      </c>
      <c r="B5" s="13">
        <f>IFERROR(ROUND(AVERAGE('Order book'!J2:J151),1),"-")</f>
        <v/>
      </c>
    </row>
    <row r="6">
      <c r="A6" s="12" t="inlineStr">
        <is>
          <t>Average return score</t>
        </is>
      </c>
      <c r="B6" s="13">
        <f>IFERROR(ROUND(AVERAGE('Order book'!K2:K151),1),"-")</f>
        <v/>
      </c>
    </row>
    <row r="7">
      <c r="A7" s="12" t="inlineStr">
        <is>
          <t>High-risk orders (delay or return)</t>
        </is>
      </c>
      <c r="B7" s="13">
        <f>SUMPRODUCT(--((('Order book'!L2:L151="High")+('Order book'!M2:M151="High"))&gt;0))</f>
        <v/>
      </c>
    </row>
    <row r="9">
      <c r="A9" s="11" t="inlineStr">
        <is>
          <t>Delay risk breakdown</t>
        </is>
      </c>
    </row>
    <row r="10">
      <c r="A10" s="12" t="inlineStr">
        <is>
          <t>Low</t>
        </is>
      </c>
      <c r="B10" s="13">
        <f>COUNTIF('Order book'!L2:L151,"Low")</f>
        <v/>
      </c>
    </row>
    <row r="11">
      <c r="A11" s="12" t="inlineStr">
        <is>
          <t>Medium</t>
        </is>
      </c>
      <c r="B11" s="13">
        <f>COUNTIF('Order book'!L2:L151,"Medium")</f>
        <v/>
      </c>
    </row>
    <row r="12">
      <c r="A12" s="12" t="inlineStr">
        <is>
          <t>High</t>
        </is>
      </c>
      <c r="B12" s="13">
        <f>COUNTIF('Order book'!L2:L151,"High")</f>
        <v/>
      </c>
    </row>
    <row r="14">
      <c r="A14" s="11" t="inlineStr">
        <is>
          <t>Return risk breakdown</t>
        </is>
      </c>
    </row>
    <row r="15">
      <c r="A15" s="12" t="inlineStr">
        <is>
          <t>Low</t>
        </is>
      </c>
      <c r="B15" s="13">
        <f>COUNTIF('Order book'!M2:M151,"Low")</f>
        <v/>
      </c>
    </row>
    <row r="16">
      <c r="A16" s="12" t="inlineStr">
        <is>
          <t>Medium</t>
        </is>
      </c>
      <c r="B16" s="13">
        <f>COUNTIF('Order book'!M2:M151,"Medium")</f>
        <v/>
      </c>
    </row>
    <row r="17">
      <c r="A17" s="12" t="inlineStr">
        <is>
          <t>High</t>
        </is>
      </c>
      <c r="B17" s="13">
        <f>COUNTIF('Order book'!M2:M151,"High")</f>
        <v/>
      </c>
    </row>
    <row r="19">
      <c r="A19" s="11" t="inlineStr">
        <is>
          <t>Average delay score by cluster</t>
        </is>
      </c>
    </row>
    <row r="20">
      <c r="A20" s="12" t="inlineStr">
        <is>
          <t>Tirupur</t>
        </is>
      </c>
      <c r="B20" s="13">
        <f>IFERROR(ROUND(AVERAGEIF('Order book'!B2:B151,"Tirupur",'Order book'!J2:J151),1),"-")</f>
        <v/>
      </c>
    </row>
    <row r="21">
      <c r="A21" s="12" t="inlineStr">
        <is>
          <t>Bengaluru</t>
        </is>
      </c>
      <c r="B21" s="13">
        <f>IFERROR(ROUND(AVERAGEIF('Order book'!B2:B151,"Bengaluru",'Order book'!J2:J151),1),"-")</f>
        <v/>
      </c>
    </row>
    <row r="22">
      <c r="A22" s="12" t="inlineStr">
        <is>
          <t>Ludhiana</t>
        </is>
      </c>
      <c r="B22" s="13">
        <f>IFERROR(ROUND(AVERAGEIF('Order book'!B2:B151,"Ludhiana",'Order book'!J2:J151),1),"-")</f>
        <v/>
      </c>
    </row>
    <row r="23">
      <c r="A23" s="12" t="inlineStr">
        <is>
          <t>Delhi NCR</t>
        </is>
      </c>
      <c r="B23" s="13">
        <f>IFERROR(ROUND(AVERAGEIF('Order book'!B2:B151,"Delhi NCR",'Order book'!J2:J151),1),"-")</f>
        <v/>
      </c>
    </row>
    <row r="25">
      <c r="A25" s="11" t="inlineStr">
        <is>
          <t>Average return score by season</t>
        </is>
      </c>
    </row>
    <row r="26">
      <c r="A26" s="12" t="inlineStr">
        <is>
          <t>normal</t>
        </is>
      </c>
      <c r="B26" s="13">
        <f>IFERROR(ROUND(AVERAGEIF('Order book'!I2:I151,"normal",'Order book'!K2:K151),1),"-")</f>
        <v/>
      </c>
    </row>
    <row r="27">
      <c r="A27" s="12" t="inlineStr">
        <is>
          <t>festive</t>
        </is>
      </c>
      <c r="B27" s="13">
        <f>IFERROR(ROUND(AVERAGEIF('Order book'!I2:I151,"festive",'Order book'!K2:K151),1),"-")</f>
        <v/>
      </c>
    </row>
    <row r="28">
      <c r="A28" s="12" t="inlineStr">
        <is>
          <t>monsoon</t>
        </is>
      </c>
      <c r="B28" s="13">
        <f>IFERROR(ROUND(AVERAGEIF('Order book'!I2:I151,"monsoon",'Order book'!K2:K151),1),"-")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</cols>
  <sheetData>
    <row r="1">
      <c r="A1" s="10" t="inlineStr">
        <is>
          <t>The 15-factor scoring rubric</t>
        </is>
      </c>
    </row>
    <row r="2">
      <c r="A2" s="14" t="inlineStr">
        <is>
          <t>Every order starts at the baseline and gains points for each risk factor that applies. Both scores are capped at 100. This is the exact logic the Order book uses.</t>
        </is>
      </c>
    </row>
    <row r="4">
      <c r="A4" s="15" t="inlineStr">
        <is>
          <t>Risk factor</t>
        </is>
      </c>
      <c r="B4" s="15" t="inlineStr">
        <is>
          <t>Delay points</t>
        </is>
      </c>
      <c r="C4" s="15" t="inlineStr">
        <is>
          <t>Return points</t>
        </is>
      </c>
    </row>
    <row r="5">
      <c r="A5" s="16" t="inlineStr">
        <is>
          <t>Baseline — every order starts here</t>
        </is>
      </c>
      <c r="B5" s="17" t="inlineStr">
        <is>
          <t>10</t>
        </is>
      </c>
      <c r="C5" s="17" t="inlineStr">
        <is>
          <t>15</t>
        </is>
      </c>
    </row>
    <row r="6">
      <c r="A6" s="18" t="inlineStr">
        <is>
          <t>New vendor</t>
        </is>
      </c>
      <c r="B6" s="19" t="inlineStr">
        <is>
          <t>+22</t>
        </is>
      </c>
      <c r="C6" s="19" t="inlineStr">
        <is>
          <t>+10</t>
        </is>
      </c>
    </row>
    <row r="7">
      <c r="A7" s="16" t="inlineStr">
        <is>
          <t>Vendor cluster: Tirupur</t>
        </is>
      </c>
      <c r="B7" s="17" t="inlineStr">
        <is>
          <t>+14</t>
        </is>
      </c>
      <c r="C7" s="17" t="inlineStr">
        <is>
          <t>+3</t>
        </is>
      </c>
    </row>
    <row r="8">
      <c r="A8" s="18" t="inlineStr">
        <is>
          <t>Vendor cluster: Bengaluru</t>
        </is>
      </c>
      <c r="B8" s="19" t="inlineStr">
        <is>
          <t>+4</t>
        </is>
      </c>
      <c r="C8" s="19" t="inlineStr">
        <is>
          <t>0</t>
        </is>
      </c>
    </row>
    <row r="9">
      <c r="A9" s="16" t="inlineStr">
        <is>
          <t>Vendor reliability below 0.85</t>
        </is>
      </c>
      <c r="B9" s="17" t="inlineStr">
        <is>
          <t>+12</t>
        </is>
      </c>
      <c r="C9" s="17" t="inlineStr">
        <is>
          <t>+6</t>
        </is>
      </c>
    </row>
    <row r="10">
      <c r="A10" s="18" t="inlineStr">
        <is>
          <t>Fabric: woven</t>
        </is>
      </c>
      <c r="B10" s="19" t="inlineStr">
        <is>
          <t>+12</t>
        </is>
      </c>
      <c r="C10" s="19" t="inlineStr">
        <is>
          <t>+5</t>
        </is>
      </c>
    </row>
    <row r="11">
      <c r="A11" s="16" t="inlineStr">
        <is>
          <t>Order quantity above 350</t>
        </is>
      </c>
      <c r="B11" s="17" t="inlineStr">
        <is>
          <t>+8</t>
        </is>
      </c>
      <c r="C11" s="17" t="inlineStr">
        <is>
          <t>0</t>
        </is>
      </c>
    </row>
    <row r="12">
      <c r="A12" s="18" t="inlineStr">
        <is>
          <t>Destination: Tier-3</t>
        </is>
      </c>
      <c r="B12" s="19" t="inlineStr">
        <is>
          <t>+10</t>
        </is>
      </c>
      <c r="C12" s="19" t="inlineStr">
        <is>
          <t>+14</t>
        </is>
      </c>
    </row>
    <row r="13">
      <c r="A13" s="16" t="inlineStr">
        <is>
          <t>Destination: Tier-2</t>
        </is>
      </c>
      <c r="B13" s="17" t="inlineStr">
        <is>
          <t>+5</t>
        </is>
      </c>
      <c r="C13" s="17" t="inlineStr">
        <is>
          <t>+7</t>
        </is>
      </c>
    </row>
    <row r="14">
      <c r="A14" s="18" t="inlineStr">
        <is>
          <t>Payment: COD</t>
        </is>
      </c>
      <c r="B14" s="19" t="inlineStr">
        <is>
          <t>+2</t>
        </is>
      </c>
      <c r="C14" s="19" t="inlineStr">
        <is>
          <t>+22</t>
        </is>
      </c>
    </row>
    <row r="15">
      <c r="A15" s="16" t="inlineStr">
        <is>
          <t>Season: festive</t>
        </is>
      </c>
      <c r="B15" s="17" t="inlineStr">
        <is>
          <t>+12</t>
        </is>
      </c>
      <c r="C15" s="17" t="inlineStr">
        <is>
          <t>+10</t>
        </is>
      </c>
    </row>
    <row r="16">
      <c r="A16" s="18" t="inlineStr">
        <is>
          <t>Season: monsoon</t>
        </is>
      </c>
      <c r="B16" s="19" t="inlineStr">
        <is>
          <t>+8</t>
        </is>
      </c>
      <c r="C16" s="19" t="inlineStr">
        <is>
          <t>+3</t>
        </is>
      </c>
    </row>
    <row r="17">
      <c r="A17" s="16" t="inlineStr">
        <is>
          <t>Interaction: monsoon + woven</t>
        </is>
      </c>
      <c r="B17" s="17" t="inlineStr">
        <is>
          <t>+10</t>
        </is>
      </c>
      <c r="C17" s="17" t="inlineStr">
        <is>
          <t>+3</t>
        </is>
      </c>
    </row>
    <row r="18">
      <c r="A18" s="18" t="inlineStr">
        <is>
          <t>Interaction: festive + COD</t>
        </is>
      </c>
      <c r="B18" s="19" t="inlineStr">
        <is>
          <t>0</t>
        </is>
      </c>
      <c r="C18" s="19" t="inlineStr">
        <is>
          <t>+14</t>
        </is>
      </c>
    </row>
    <row r="19">
      <c r="A19" s="16" t="inlineStr">
        <is>
          <t>Interaction: new vendor + Tirupur</t>
        </is>
      </c>
      <c r="B19" s="17" t="inlineStr">
        <is>
          <t>+10</t>
        </is>
      </c>
      <c r="C19" s="17" t="inlineStr">
        <is>
          <t>+2</t>
        </is>
      </c>
    </row>
    <row r="20">
      <c r="A20" s="18" t="inlineStr">
        <is>
          <t>Predicted delay 60+ raises return risk</t>
        </is>
      </c>
      <c r="B20" s="19" t="inlineStr">
        <is>
          <t>-</t>
        </is>
      </c>
      <c r="C20" s="19" t="inlineStr">
        <is>
          <t>+15</t>
        </is>
      </c>
    </row>
    <row r="21">
      <c r="A21" s="16" t="inlineStr">
        <is>
          <t>Predicted delay 40-59 raises return risk</t>
        </is>
      </c>
      <c r="B21" s="17" t="inlineStr">
        <is>
          <t>-</t>
        </is>
      </c>
      <c r="C21" s="17" t="inlineStr">
        <is>
          <t>+8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2026-05-22T11:04:44Z</dcterms:created>
  <dcterms:modified xsi:type="dcterms:W3CDTF">2026-05-22T11:04:44Z</dcterms:modified>
</cp:coreProperties>
</file>